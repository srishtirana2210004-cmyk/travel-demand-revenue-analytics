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rishtirana/travel-demand-revenue-analytics /excel/"/>
    </mc:Choice>
  </mc:AlternateContent>
  <xr:revisionPtr revIDLastSave="0" documentId="13_ncr:9_{9343EE7A-EF3F-D741-B979-A4FD3CA6CFA0}" xr6:coauthVersionLast="47" xr6:coauthVersionMax="47" xr10:uidLastSave="{00000000-0000-0000-0000-000000000000}"/>
  <bookViews>
    <workbookView xWindow="0" yWindow="900" windowWidth="15420" windowHeight="16980" xr2:uid="{72A50DE2-2DBF-A940-95F8-68DEABBA53C8}"/>
  </bookViews>
  <sheets>
    <sheet name="Raw_SQL_Data" sheetId="1" r:id="rId1"/>
    <sheet name="Pivot_Analysis" sheetId="2" r:id="rId2"/>
    <sheet name="KPIs" sheetId="3" r:id="rId3"/>
    <sheet name="travel_analytics_dashboard" sheetId="4" r:id="rId4"/>
  </sheets>
  <calcPr calcId="191029"/>
  <pivotCaches>
    <pivotCache cacheId="7" r:id="rId5"/>
    <pivotCache cacheId="11" r:id="rId6"/>
    <pivotCache cacheId="18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</calcChain>
</file>

<file path=xl/sharedStrings.xml><?xml version="1.0" encoding="utf-8"?>
<sst xmlns="http://schemas.openxmlformats.org/spreadsheetml/2006/main" count="80" uniqueCount="41">
  <si>
    <t>Source</t>
  </si>
  <si>
    <t>Destination</t>
  </si>
  <si>
    <t>Total_Bookings</t>
  </si>
  <si>
    <t>Avg_Fare</t>
  </si>
  <si>
    <t>Kolkata</t>
  </si>
  <si>
    <t>Banglore</t>
  </si>
  <si>
    <t>Delhi</t>
  </si>
  <si>
    <t>Cochin</t>
  </si>
  <si>
    <t>Chennai</t>
  </si>
  <si>
    <t>Mumbai</t>
  </si>
  <si>
    <t>Hyderabad</t>
  </si>
  <si>
    <t>New Delhi</t>
  </si>
  <si>
    <t>Airline</t>
  </si>
  <si>
    <t>Total_Revenue</t>
  </si>
  <si>
    <t>Air Asia</t>
  </si>
  <si>
    <t>Vistara Premium economy</t>
  </si>
  <si>
    <t>Multiple carriers Premium economy</t>
  </si>
  <si>
    <t>SpiceJet</t>
  </si>
  <si>
    <t>Jet Airways</t>
  </si>
  <si>
    <t>Vistara</t>
  </si>
  <si>
    <t>IndiGo</t>
  </si>
  <si>
    <t>Air India</t>
  </si>
  <si>
    <t>GoAir</t>
  </si>
  <si>
    <t>Multiple carriers</t>
  </si>
  <si>
    <t>Jet Airways Business</t>
  </si>
  <si>
    <t>Trujet</t>
  </si>
  <si>
    <t>Dep_Time</t>
  </si>
  <si>
    <t>ROUTE DEMAND (FROM SQL)</t>
  </si>
  <si>
    <t>AIRLINE REVENUE (FROM SQL)</t>
  </si>
  <si>
    <t>TIME OF DAY DEMAND (FROM SQL)</t>
  </si>
  <si>
    <t>Row Labels</t>
  </si>
  <si>
    <t>Grand Total</t>
  </si>
  <si>
    <t>Column Labels</t>
  </si>
  <si>
    <t>Sum of Total_Bookings</t>
  </si>
  <si>
    <t>Sum of Total_Revenue</t>
  </si>
  <si>
    <t>Average of Avg_Fare</t>
  </si>
  <si>
    <t>Time_Slot</t>
  </si>
  <si>
    <t>Afternoon</t>
  </si>
  <si>
    <t>Evening</t>
  </si>
  <si>
    <t>Morning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</si>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</sst>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20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5" formatCode="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shti Rana " refreshedDate="46060.048773842595" createdVersion="8" refreshedVersion="8" minRefreshableVersion="3" recordCount="6" xr:uid="{16E8849D-6645-E043-AF82-024DC8543667}">
  <cacheSource type="worksheet">
    <worksheetSource name="Table1"/>
  </cacheSource>
  <cacheFields count="4">
    <cacheField name="Source" numFmtId="0">
      <sharedItems count="5">
        <s v="Kolkata"/>
        <s v="Delhi"/>
        <s v="Chennai"/>
        <s v="Mumbai"/>
        <s v="Banglore"/>
      </sharedItems>
    </cacheField>
    <cacheField name="Destination" numFmtId="0">
      <sharedItems count="6">
        <s v="Banglore"/>
        <s v="Cochin"/>
        <s v="Kolkata"/>
        <s v="Hyderabad"/>
        <s v="New Delhi"/>
        <s v="Delhi"/>
      </sharedItems>
    </cacheField>
    <cacheField name="Total_Bookings" numFmtId="0">
      <sharedItems containsSemiMixedTypes="0" containsString="0" containsNumber="1" containsInteger="1" minValue="381" maxValue="4537"/>
    </cacheField>
    <cacheField name="Avg_Fare" numFmtId="0">
      <sharedItems containsSemiMixedTypes="0" containsString="0" containsNumber="1" minValue="4789.8923884514397" maxValue="11917.71673819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shti Rana " refreshedDate="46060.051715046298" createdVersion="8" refreshedVersion="8" minRefreshableVersion="3" recordCount="12" xr:uid="{B812A2FB-1D0E-5941-AAF9-6A47A6D152AB}">
  <cacheSource type="worksheet">
    <worksheetSource name="Table2"/>
  </cacheSource>
  <cacheFields count="4">
    <cacheField name="Airline" numFmtId="0">
      <sharedItems count="12">
        <s v="Air Asia"/>
        <s v="Vistara Premium economy"/>
        <s v="Multiple carriers Premium economy"/>
        <s v="SpiceJet"/>
        <s v="Jet Airways"/>
        <s v="Vistara"/>
        <s v="IndiGo"/>
        <s v="Air India"/>
        <s v="GoAir"/>
        <s v="Multiple carriers"/>
        <s v="Jet Airways Business"/>
        <s v="Trujet"/>
      </sharedItems>
    </cacheField>
    <cacheField name="Total_Bookings" numFmtId="0">
      <sharedItems containsSemiMixedTypes="0" containsString="0" containsNumber="1" containsInteger="1" minValue="1" maxValue="3849"/>
    </cacheField>
    <cacheField name="Total_Revenue" numFmtId="0">
      <sharedItems containsSemiMixedTypes="0" containsString="0" containsNumber="1" containsInteger="1" minValue="4140" maxValue="44817461"/>
    </cacheField>
    <cacheField name="Avg_Fare" numFmtId="0">
      <sharedItems containsSemiMixedTypes="0" containsString="0" containsNumber="1" minValue="4140" maxValue="58358.666666666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shti Rana " refreshedDate="46060.067436342593" createdVersion="8" refreshedVersion="8" minRefreshableVersion="3" recordCount="222" xr:uid="{4C4BF50B-FF37-F44C-ABD5-67043C6DBA72}">
  <cacheSource type="worksheet">
    <worksheetSource name="Table3"/>
  </cacheSource>
  <cacheFields count="4">
    <cacheField name="Dep_Time" numFmtId="20">
      <sharedItems containsSemiMixedTypes="0" containsNonDate="0" containsDate="1" containsString="0" minDate="1899-12-30T00:20:00" maxDate="1899-12-30T23:55:00"/>
    </cacheField>
    <cacheField name="Total_Bookings" numFmtId="0">
      <sharedItems containsSemiMixedTypes="0" containsString="0" containsNumber="1" containsInteger="1" minValue="1" maxValue="233"/>
    </cacheField>
    <cacheField name="Avg_Fare" numFmtId="0">
      <sharedItems containsSemiMixedTypes="0" containsString="0" containsNumber="1" minValue="2293.75" maxValue="23872.333333333299"/>
    </cacheField>
    <cacheField name="Time_Slot" numFmtId="0">
      <sharedItems count="4">
        <s v="Evening"/>
        <s v="Morning"/>
        <s v="Afternoon"/>
        <s v="Nigh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2871"/>
    <n v="9158.3894113549304"/>
  </r>
  <r>
    <x v="1"/>
    <x v="1"/>
    <n v="4537"/>
    <n v="10539.4390566454"/>
  </r>
  <r>
    <x v="2"/>
    <x v="2"/>
    <n v="381"/>
    <n v="4789.8923884514397"/>
  </r>
  <r>
    <x v="3"/>
    <x v="3"/>
    <n v="697"/>
    <n v="5059.7087517933996"/>
  </r>
  <r>
    <x v="4"/>
    <x v="4"/>
    <n v="932"/>
    <n v="11917.7167381974"/>
  </r>
  <r>
    <x v="4"/>
    <x v="5"/>
    <n v="1265"/>
    <n v="5143.918577075100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319"/>
    <n v="1783293"/>
    <n v="5590.2601880877801"/>
  </r>
  <r>
    <x v="1"/>
    <n v="3"/>
    <n v="26887"/>
    <n v="8962.3333333333303"/>
  </r>
  <r>
    <x v="2"/>
    <n v="13"/>
    <n v="148445"/>
    <n v="11418.8461538462"/>
  </r>
  <r>
    <x v="3"/>
    <n v="818"/>
    <n v="3548717"/>
    <n v="4338.2848410757897"/>
  </r>
  <r>
    <x v="4"/>
    <n v="3849"/>
    <n v="44817461"/>
    <n v="11643.923356716001"/>
  </r>
  <r>
    <x v="5"/>
    <n v="479"/>
    <n v="3734451"/>
    <n v="7796.3486430062603"/>
  </r>
  <r>
    <x v="6"/>
    <n v="2053"/>
    <n v="11648071"/>
    <n v="5673.6829030686804"/>
  </r>
  <r>
    <x v="7"/>
    <n v="1752"/>
    <n v="16838841"/>
    <n v="9611.2106164383604"/>
  </r>
  <r>
    <x v="8"/>
    <n v="194"/>
    <n v="1137045"/>
    <n v="5861.0567010309296"/>
  </r>
  <r>
    <x v="9"/>
    <n v="1196"/>
    <n v="13039603"/>
    <n v="10902.6780936455"/>
  </r>
  <r>
    <x v="10"/>
    <n v="6"/>
    <n v="350152"/>
    <n v="58358.666666666701"/>
  </r>
  <r>
    <x v="11"/>
    <n v="1"/>
    <n v="4140"/>
    <n v="414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d v="1899-12-30T20:00:00"/>
    <n v="185"/>
    <n v="10941.0054054054"/>
    <x v="0"/>
  </r>
  <r>
    <d v="1899-12-30T06:35:00"/>
    <n v="2"/>
    <n v="5438"/>
    <x v="1"/>
  </r>
  <r>
    <d v="1899-12-30T20:35:00"/>
    <n v="19"/>
    <n v="13245.052631578899"/>
    <x v="0"/>
  </r>
  <r>
    <d v="1899-12-30T17:35:00"/>
    <n v="12"/>
    <n v="6999"/>
    <x v="0"/>
  </r>
  <r>
    <d v="1899-12-30T12:20:00"/>
    <n v="5"/>
    <n v="12341"/>
    <x v="2"/>
  </r>
  <r>
    <d v="1899-12-30T10:25:00"/>
    <n v="3"/>
    <n v="8629.6666666666697"/>
    <x v="1"/>
  </r>
  <r>
    <d v="1899-12-30T17:25:00"/>
    <n v="12"/>
    <n v="13140.333333333299"/>
    <x v="0"/>
  </r>
  <r>
    <d v="1899-12-30T17:55:00"/>
    <n v="21"/>
    <n v="6427.3809523809496"/>
    <x v="0"/>
  </r>
  <r>
    <d v="1899-12-30T16:55:00"/>
    <n v="109"/>
    <n v="9955.0091743119301"/>
    <x v="2"/>
  </r>
  <r>
    <d v="1899-12-30T15:15:00"/>
    <n v="91"/>
    <n v="5944.6043956044005"/>
    <x v="2"/>
  </r>
  <r>
    <d v="1899-12-30T07:45:00"/>
    <n v="37"/>
    <n v="4847.9189189189201"/>
    <x v="1"/>
  </r>
  <r>
    <d v="1899-12-30T05:50:00"/>
    <n v="78"/>
    <n v="10848.3717948718"/>
    <x v="1"/>
  </r>
  <r>
    <d v="1899-12-30T21:00:00"/>
    <n v="44"/>
    <n v="6516.1818181818198"/>
    <x v="0"/>
  </r>
  <r>
    <d v="1899-12-30T16:35:00"/>
    <n v="5"/>
    <n v="7244"/>
    <x v="2"/>
  </r>
  <r>
    <d v="1899-12-30T02:15:00"/>
    <n v="80"/>
    <n v="12769.362499999999"/>
    <x v="3"/>
  </r>
  <r>
    <d v="1899-12-30T18:55:00"/>
    <n v="233"/>
    <n v="9556.2575107296107"/>
    <x v="0"/>
  </r>
  <r>
    <d v="1899-12-30T05:35:00"/>
    <n v="28"/>
    <n v="6281.8928571428596"/>
    <x v="1"/>
  </r>
  <r>
    <d v="1899-12-30T10:10:00"/>
    <n v="35"/>
    <n v="4625"/>
    <x v="1"/>
  </r>
  <r>
    <d v="1899-12-30T18:20:00"/>
    <n v="11"/>
    <n v="14588.272727272701"/>
    <x v="0"/>
  </r>
  <r>
    <d v="1899-12-30T08:45:00"/>
    <n v="75"/>
    <n v="7729.64"/>
    <x v="1"/>
  </r>
  <r>
    <d v="1899-12-30T07:00:00"/>
    <n v="167"/>
    <n v="10507.263473053899"/>
    <x v="1"/>
  </r>
  <r>
    <d v="1899-12-30T14:15:00"/>
    <n v="31"/>
    <n v="5853.2903225806504"/>
    <x v="2"/>
  </r>
  <r>
    <d v="1899-12-30T08:30:00"/>
    <n v="69"/>
    <n v="7025.9130434782601"/>
    <x v="1"/>
  </r>
  <r>
    <d v="1899-12-30T22:40:00"/>
    <n v="9"/>
    <n v="6556"/>
    <x v="3"/>
  </r>
  <r>
    <d v="1899-12-30T10:00:00"/>
    <n v="203"/>
    <n v="10985.088669950699"/>
    <x v="1"/>
  </r>
  <r>
    <d v="1899-12-30T02:55:00"/>
    <n v="46"/>
    <n v="4581.4130434782601"/>
    <x v="3"/>
  </r>
  <r>
    <d v="1899-12-30T17:10:00"/>
    <n v="63"/>
    <n v="4683.4603174603199"/>
    <x v="0"/>
  </r>
  <r>
    <d v="1899-12-30T07:05:00"/>
    <n v="205"/>
    <n v="9959.54146341464"/>
    <x v="1"/>
  </r>
  <r>
    <d v="1899-12-30T11:05:00"/>
    <n v="12"/>
    <n v="12212.5"/>
    <x v="2"/>
  </r>
  <r>
    <d v="1899-12-30T13:40:00"/>
    <n v="4"/>
    <n v="7925.25"/>
    <x v="2"/>
  </r>
  <r>
    <d v="1899-12-30T20:15:00"/>
    <n v="14"/>
    <n v="13383.785714285699"/>
    <x v="0"/>
  </r>
  <r>
    <d v="1899-12-30T14:20:00"/>
    <n v="32"/>
    <n v="6677.09375"/>
    <x v="2"/>
  </r>
  <r>
    <d v="1899-12-30T22:05:00"/>
    <n v="27"/>
    <n v="5390.3333333333303"/>
    <x v="3"/>
  </r>
  <r>
    <d v="1899-12-30T15:35:00"/>
    <n v="3"/>
    <n v="6627"/>
    <x v="2"/>
  </r>
  <r>
    <d v="1899-12-30T08:35:00"/>
    <n v="38"/>
    <n v="6815.4210526315801"/>
    <x v="1"/>
  </r>
  <r>
    <d v="1899-12-30T18:45:00"/>
    <n v="10"/>
    <n v="12451.4"/>
    <x v="0"/>
  </r>
  <r>
    <d v="1899-12-30T16:15:00"/>
    <n v="3"/>
    <n v="5987"/>
    <x v="2"/>
  </r>
  <r>
    <d v="1899-12-30T19:15:00"/>
    <n v="51"/>
    <n v="12325.529411764701"/>
    <x v="0"/>
  </r>
  <r>
    <d v="1899-12-30T13:30:00"/>
    <n v="12"/>
    <n v="9654.0833333333303"/>
    <x v="2"/>
  </r>
  <r>
    <d v="1899-12-30T06:30:00"/>
    <n v="140"/>
    <n v="11592.8"/>
    <x v="1"/>
  </r>
  <r>
    <d v="1899-12-30T14:55:00"/>
    <n v="26"/>
    <n v="5867.5769230769201"/>
    <x v="2"/>
  </r>
  <r>
    <d v="1899-12-30T22:10:00"/>
    <n v="32"/>
    <n v="4051.3125"/>
    <x v="3"/>
  </r>
  <r>
    <d v="1899-12-30T20:50:00"/>
    <n v="8"/>
    <n v="13850.625"/>
    <x v="0"/>
  </r>
  <r>
    <d v="1899-12-30T12:05:00"/>
    <n v="1"/>
    <n v="4588"/>
    <x v="2"/>
  </r>
  <r>
    <d v="1899-12-30T05:55:00"/>
    <n v="78"/>
    <n v="7164.7435897435898"/>
    <x v="1"/>
  </r>
  <r>
    <d v="1899-12-30T22:55:00"/>
    <n v="17"/>
    <n v="13320.1176470588"/>
    <x v="3"/>
  </r>
  <r>
    <d v="1899-12-30T15:30:00"/>
    <n v="21"/>
    <n v="4644"/>
    <x v="2"/>
  </r>
  <r>
    <d v="1899-12-30T11:40:00"/>
    <n v="161"/>
    <n v="10590.5714285714"/>
    <x v="2"/>
  </r>
  <r>
    <d v="1899-12-30T14:35:00"/>
    <n v="58"/>
    <n v="10713.758620689699"/>
    <x v="2"/>
  </r>
  <r>
    <d v="1899-12-30T04:45:00"/>
    <n v="21"/>
    <n v="10776.9523809524"/>
    <x v="1"/>
  </r>
  <r>
    <d v="1899-12-30T00:40:00"/>
    <n v="6"/>
    <n v="5251.3333333333303"/>
    <x v="3"/>
  </r>
  <r>
    <d v="1899-12-30T07:55:00"/>
    <n v="59"/>
    <n v="5841.42372881356"/>
    <x v="1"/>
  </r>
  <r>
    <d v="1899-12-30T17:00:00"/>
    <n v="227"/>
    <n v="9941.0616740088099"/>
    <x v="0"/>
  </r>
  <r>
    <d v="1899-12-30T21:05:00"/>
    <n v="61"/>
    <n v="4688.8360655737697"/>
    <x v="0"/>
  </r>
  <r>
    <d v="1899-12-30T07:10:00"/>
    <n v="202"/>
    <n v="7435.4900990099004"/>
    <x v="1"/>
  </r>
  <r>
    <d v="1899-12-30T02:30:00"/>
    <n v="8"/>
    <n v="5123.375"/>
    <x v="3"/>
  </r>
  <r>
    <d v="1899-12-30T20:45:00"/>
    <n v="44"/>
    <n v="6385.5681818181802"/>
    <x v="0"/>
  </r>
  <r>
    <d v="1899-12-30T11:20:00"/>
    <n v="2"/>
    <n v="5746"/>
    <x v="2"/>
  </r>
  <r>
    <d v="1899-12-30T09:55:00"/>
    <n v="16"/>
    <n v="13613.625"/>
    <x v="1"/>
  </r>
  <r>
    <d v="1899-12-30T15:40:00"/>
    <n v="7"/>
    <n v="7620.1428571428596"/>
    <x v="2"/>
  </r>
  <r>
    <d v="1899-12-30T11:50:00"/>
    <n v="18"/>
    <n v="10736.3888888889"/>
    <x v="2"/>
  </r>
  <r>
    <d v="1899-12-30T14:25:00"/>
    <n v="56"/>
    <n v="7288"/>
    <x v="2"/>
  </r>
  <r>
    <d v="1899-12-30T20:05:00"/>
    <n v="22"/>
    <n v="6708.3636363636397"/>
    <x v="0"/>
  </r>
  <r>
    <d v="1899-12-30T09:25:00"/>
    <n v="85"/>
    <n v="11468.858823529399"/>
    <x v="1"/>
  </r>
  <r>
    <d v="1899-12-30T21:25:00"/>
    <n v="74"/>
    <n v="9884.6351351351404"/>
    <x v="0"/>
  </r>
  <r>
    <d v="1899-12-30T19:40:00"/>
    <n v="12"/>
    <n v="9323.5833333333303"/>
    <x v="0"/>
  </r>
  <r>
    <d v="1899-12-30T05:40:00"/>
    <n v="9"/>
    <n v="14532.8888888889"/>
    <x v="1"/>
  </r>
  <r>
    <d v="1899-12-30T11:00:00"/>
    <n v="30"/>
    <n v="7704.9666666666699"/>
    <x v="2"/>
  </r>
  <r>
    <d v="1899-12-30T06:25:00"/>
    <n v="22"/>
    <n v="4279.5"/>
    <x v="1"/>
  </r>
  <r>
    <d v="1899-12-30T19:55:00"/>
    <n v="38"/>
    <n v="5735.3684210526299"/>
    <x v="0"/>
  </r>
  <r>
    <d v="1899-12-30T04:00:00"/>
    <n v="49"/>
    <n v="7330.4081632653097"/>
    <x v="1"/>
  </r>
  <r>
    <d v="1899-12-30T12:10:00"/>
    <n v="3"/>
    <n v="7614"/>
    <x v="2"/>
  </r>
  <r>
    <d v="1899-12-30T21:35:00"/>
    <n v="1"/>
    <n v="13882"/>
    <x v="0"/>
  </r>
  <r>
    <d v="1899-12-30T10:05:00"/>
    <n v="6"/>
    <n v="8136.5"/>
    <x v="1"/>
  </r>
  <r>
    <d v="1899-12-30T16:40:00"/>
    <n v="30"/>
    <n v="9648.6666666666697"/>
    <x v="2"/>
  </r>
  <r>
    <d v="1899-12-30T22:25:00"/>
    <n v="1"/>
    <n v="10091"/>
    <x v="3"/>
  </r>
  <r>
    <d v="1899-12-30T05:45:00"/>
    <n v="122"/>
    <n v="10218.2131147541"/>
    <x v="1"/>
  </r>
  <r>
    <d v="1899-12-30T15:10:00"/>
    <n v="33"/>
    <n v="6045.5757575757598"/>
    <x v="2"/>
  </r>
  <r>
    <d v="1899-12-30T08:40:00"/>
    <n v="3"/>
    <n v="18559.666666666701"/>
    <x v="1"/>
  </r>
  <r>
    <d v="1899-12-30T20:25:00"/>
    <n v="125"/>
    <n v="10518.816000000001"/>
    <x v="0"/>
  </r>
  <r>
    <d v="1899-12-30T22:50:00"/>
    <n v="114"/>
    <n v="12047.1228070175"/>
    <x v="3"/>
  </r>
  <r>
    <d v="1899-12-30T16:50:00"/>
    <n v="35"/>
    <n v="11496.342857142899"/>
    <x v="2"/>
  </r>
  <r>
    <d v="1899-12-30T05:25:00"/>
    <n v="22"/>
    <n v="13808.3636363636"/>
    <x v="1"/>
  </r>
  <r>
    <d v="1899-12-30T21:40:00"/>
    <n v="1"/>
    <n v="13832"/>
    <x v="0"/>
  </r>
  <r>
    <d v="1899-12-30T08:00:00"/>
    <n v="152"/>
    <n v="12788.5197368421"/>
    <x v="1"/>
  </r>
  <r>
    <d v="1899-12-30T11:30:00"/>
    <n v="158"/>
    <n v="10220.753164557"/>
    <x v="2"/>
  </r>
  <r>
    <d v="1899-12-30T21:10:00"/>
    <n v="180"/>
    <n v="9681.6666666666697"/>
    <x v="0"/>
  </r>
  <r>
    <d v="1899-12-30T06:20:00"/>
    <n v="50"/>
    <n v="5361.4"/>
    <x v="1"/>
  </r>
  <r>
    <d v="1899-12-30T18:05:00"/>
    <n v="29"/>
    <n v="6223.7586206896603"/>
    <x v="0"/>
  </r>
  <r>
    <d v="1899-12-30T02:35:00"/>
    <n v="20"/>
    <n v="4932.05"/>
    <x v="3"/>
  </r>
  <r>
    <d v="1899-12-30T07:15:00"/>
    <n v="9"/>
    <n v="6161.5555555555602"/>
    <x v="1"/>
  </r>
  <r>
    <d v="1899-12-30T04:40:00"/>
    <n v="25"/>
    <n v="4669.6000000000004"/>
    <x v="1"/>
  </r>
  <r>
    <d v="1899-12-30T06:05:00"/>
    <n v="53"/>
    <n v="5689.9811320754698"/>
    <x v="1"/>
  </r>
  <r>
    <d v="1899-12-30T15:50:00"/>
    <n v="15"/>
    <n v="5028.0666666666702"/>
    <x v="2"/>
  </r>
  <r>
    <d v="1899-12-30T20:10:00"/>
    <n v="5"/>
    <n v="10032"/>
    <x v="0"/>
  </r>
  <r>
    <d v="1899-12-30T23:05:00"/>
    <n v="66"/>
    <n v="14133.9545454545"/>
    <x v="3"/>
  </r>
  <r>
    <d v="1899-12-30T09:50:00"/>
    <n v="40"/>
    <n v="11514.4"/>
    <x v="1"/>
  </r>
  <r>
    <d v="1899-12-30T00:30:00"/>
    <n v="21"/>
    <n v="6434.2857142857201"/>
    <x v="3"/>
  </r>
  <r>
    <d v="1899-12-30T10:30:00"/>
    <n v="22"/>
    <n v="8362.4090909090901"/>
    <x v="1"/>
  </r>
  <r>
    <d v="1899-12-30T10:35:00"/>
    <n v="63"/>
    <n v="6971.8730158730204"/>
    <x v="1"/>
  </r>
  <r>
    <d v="1899-12-30T06:00:00"/>
    <n v="131"/>
    <n v="8235.5343511450392"/>
    <x v="1"/>
  </r>
  <r>
    <d v="1899-12-30T08:55:00"/>
    <n v="52"/>
    <n v="14095.788461538499"/>
    <x v="1"/>
  </r>
  <r>
    <d v="1899-12-30T15:55:00"/>
    <n v="16"/>
    <n v="9033.8125"/>
    <x v="2"/>
  </r>
  <r>
    <d v="1899-12-30T06:55:00"/>
    <n v="66"/>
    <n v="4254.8939393939399"/>
    <x v="1"/>
  </r>
  <r>
    <d v="1899-12-30T00:25:00"/>
    <n v="7"/>
    <n v="3737.5714285714298"/>
    <x v="3"/>
  </r>
  <r>
    <d v="1899-12-30T04:50:00"/>
    <n v="1"/>
    <n v="4176"/>
    <x v="1"/>
  </r>
  <r>
    <d v="1899-12-30T18:00:00"/>
    <n v="14"/>
    <n v="9047.3571428571395"/>
    <x v="0"/>
  </r>
  <r>
    <d v="1899-12-30T07:20:00"/>
    <n v="2"/>
    <n v="9301"/>
    <x v="1"/>
  </r>
  <r>
    <d v="1899-12-30T16:45:00"/>
    <n v="62"/>
    <n v="9879.8387096774204"/>
    <x v="2"/>
  </r>
  <r>
    <d v="1899-12-30T02:05:00"/>
    <n v="5"/>
    <n v="8266.6"/>
    <x v="3"/>
  </r>
  <r>
    <d v="1899-12-30T11:35:00"/>
    <n v="45"/>
    <n v="8107.4444444444398"/>
    <x v="2"/>
  </r>
  <r>
    <d v="1899-12-30T23:55:00"/>
    <n v="25"/>
    <n v="4568.8"/>
    <x v="3"/>
  </r>
  <r>
    <d v="1899-12-30T19:50:00"/>
    <n v="44"/>
    <n v="6859.2272727272702"/>
    <x v="0"/>
  </r>
  <r>
    <d v="1899-12-30T20:30:00"/>
    <n v="51"/>
    <n v="8346.4509803921592"/>
    <x v="0"/>
  </r>
  <r>
    <d v="1899-12-30T23:30:00"/>
    <n v="55"/>
    <n v="6259.6545454545503"/>
    <x v="3"/>
  </r>
  <r>
    <d v="1899-12-30T10:55:00"/>
    <n v="20"/>
    <n v="12624.6"/>
    <x v="1"/>
  </r>
  <r>
    <d v="1899-12-30T14:00:00"/>
    <n v="71"/>
    <n v="12001.7323943662"/>
    <x v="2"/>
  </r>
  <r>
    <d v="1899-12-30T19:00:00"/>
    <n v="59"/>
    <n v="8058.8644067796604"/>
    <x v="0"/>
  </r>
  <r>
    <d v="1899-12-30T12:50:00"/>
    <n v="37"/>
    <n v="9350.1621621621598"/>
    <x v="2"/>
  </r>
  <r>
    <d v="1899-12-30T15:20:00"/>
    <n v="10"/>
    <n v="4766.6000000000004"/>
    <x v="2"/>
  </r>
  <r>
    <d v="1899-12-30T19:45:00"/>
    <n v="97"/>
    <n v="11692.144329896901"/>
    <x v="0"/>
  </r>
  <r>
    <d v="1899-12-30T13:20:00"/>
    <n v="53"/>
    <n v="7667.0188679245302"/>
    <x v="2"/>
  </r>
  <r>
    <d v="1899-12-30T14:40:00"/>
    <n v="24"/>
    <n v="6502.4583333333303"/>
    <x v="2"/>
  </r>
  <r>
    <d v="1899-12-30T23:25:00"/>
    <n v="8"/>
    <n v="5741.125"/>
    <x v="3"/>
  </r>
  <r>
    <d v="1899-12-30T05:05:00"/>
    <n v="33"/>
    <n v="7431.69696969697"/>
    <x v="1"/>
  </r>
  <r>
    <d v="1899-12-30T09:30:00"/>
    <n v="68"/>
    <n v="4940.8529411764703"/>
    <x v="1"/>
  </r>
  <r>
    <d v="1899-12-30T11:55:00"/>
    <n v="19"/>
    <n v="7896.3684210526299"/>
    <x v="2"/>
  </r>
  <r>
    <d v="1899-12-30T17:40:00"/>
    <n v="19"/>
    <n v="7589.7368421052597"/>
    <x v="0"/>
  </r>
  <r>
    <d v="1899-12-30T12:15:00"/>
    <n v="6"/>
    <n v="14300"/>
    <x v="2"/>
  </r>
  <r>
    <d v="1899-12-30T09:20:00"/>
    <n v="10"/>
    <n v="10821.3"/>
    <x v="1"/>
  </r>
  <r>
    <d v="1899-12-30T23:00:00"/>
    <n v="7"/>
    <n v="12572.285714285699"/>
    <x v="3"/>
  </r>
  <r>
    <d v="1899-12-30T17:05:00"/>
    <n v="14"/>
    <n v="6262.5"/>
    <x v="0"/>
  </r>
  <r>
    <d v="1899-12-30T11:45:00"/>
    <n v="11"/>
    <n v="13662.4545454545"/>
    <x v="2"/>
  </r>
  <r>
    <d v="1899-12-30T19:30:00"/>
    <n v="83"/>
    <n v="8250.7951807228892"/>
    <x v="0"/>
  </r>
  <r>
    <d v="1899-12-30T09:35:00"/>
    <n v="183"/>
    <n v="10653.8360655738"/>
    <x v="1"/>
  </r>
  <r>
    <d v="1899-12-30T05:00:00"/>
    <n v="18"/>
    <n v="10312.3888888889"/>
    <x v="1"/>
  </r>
  <r>
    <d v="1899-12-30T13:50:00"/>
    <n v="3"/>
    <n v="12508.333333333299"/>
    <x v="2"/>
  </r>
  <r>
    <d v="1899-12-30T11:10:00"/>
    <n v="71"/>
    <n v="5470.1126760563402"/>
    <x v="2"/>
  </r>
  <r>
    <d v="1899-12-30T15:45:00"/>
    <n v="15"/>
    <n v="7145.2666666666701"/>
    <x v="2"/>
  </r>
  <r>
    <d v="1899-12-30T18:30:00"/>
    <n v="5"/>
    <n v="13275.6"/>
    <x v="0"/>
  </r>
  <r>
    <d v="1899-12-30T21:55:00"/>
    <n v="3"/>
    <n v="12395"/>
    <x v="0"/>
  </r>
  <r>
    <d v="1899-12-30T04:55:00"/>
    <n v="73"/>
    <n v="7154.0684931506903"/>
    <x v="1"/>
  </r>
  <r>
    <d v="1899-12-30T04:15:00"/>
    <n v="1"/>
    <n v="4150"/>
    <x v="1"/>
  </r>
  <r>
    <d v="1899-12-30T22:20:00"/>
    <n v="70"/>
    <n v="4832.7285714285699"/>
    <x v="3"/>
  </r>
  <r>
    <d v="1899-12-30T00:20:00"/>
    <n v="6"/>
    <n v="18635.333333333299"/>
    <x v="3"/>
  </r>
  <r>
    <d v="1899-12-30T11:25:00"/>
    <n v="44"/>
    <n v="7736.8636363636397"/>
    <x v="2"/>
  </r>
  <r>
    <d v="1899-12-30T06:50:00"/>
    <n v="70"/>
    <n v="8477.7999999999993"/>
    <x v="1"/>
  </r>
  <r>
    <d v="1899-12-30T06:10:00"/>
    <n v="42"/>
    <n v="7449.3809523809496"/>
    <x v="1"/>
  </r>
  <r>
    <d v="1899-12-30T13:10:00"/>
    <n v="8"/>
    <n v="3617.25"/>
    <x v="2"/>
  </r>
  <r>
    <d v="1899-12-30T08:50:00"/>
    <n v="28"/>
    <n v="14336.4285714286"/>
    <x v="1"/>
  </r>
  <r>
    <d v="1899-12-30T13:00:00"/>
    <n v="164"/>
    <n v="10363.695121951199"/>
    <x v="2"/>
  </r>
  <r>
    <d v="1899-12-30T14:30:00"/>
    <n v="17"/>
    <n v="11637.647058823501"/>
    <x v="2"/>
  </r>
  <r>
    <d v="1899-12-30T15:00:00"/>
    <n v="72"/>
    <n v="10061.1944444444"/>
    <x v="2"/>
  </r>
  <r>
    <d v="1899-12-30T02:00:00"/>
    <n v="35"/>
    <n v="6292"/>
    <x v="3"/>
  </r>
  <r>
    <d v="1899-12-30T21:20:00"/>
    <n v="33"/>
    <n v="3877.4848484848499"/>
    <x v="0"/>
  </r>
  <r>
    <d v="1899-12-30T07:25:00"/>
    <n v="19"/>
    <n v="5425.7368421052597"/>
    <x v="1"/>
  </r>
  <r>
    <d v="1899-12-30T15:05:00"/>
    <n v="34"/>
    <n v="12219.705882352901"/>
    <x v="2"/>
  </r>
  <r>
    <d v="1899-12-30T05:10:00"/>
    <n v="47"/>
    <n v="6490.7659574468098"/>
    <x v="1"/>
  </r>
  <r>
    <d v="1899-12-30T06:15:00"/>
    <n v="2"/>
    <n v="4226"/>
    <x v="1"/>
  </r>
  <r>
    <d v="1899-12-30T21:30:00"/>
    <n v="7"/>
    <n v="11027.142857142901"/>
    <x v="0"/>
  </r>
  <r>
    <d v="1899-12-30T13:45:00"/>
    <n v="3"/>
    <n v="16966.666666666701"/>
    <x v="2"/>
  </r>
  <r>
    <d v="1899-12-30T16:25:00"/>
    <n v="1"/>
    <n v="10198"/>
    <x v="2"/>
  </r>
  <r>
    <d v="1899-12-30T09:45:00"/>
    <n v="140"/>
    <n v="8017.25714285714"/>
    <x v="1"/>
  </r>
  <r>
    <d v="1899-12-30T12:45:00"/>
    <n v="1"/>
    <n v="13253"/>
    <x v="2"/>
  </r>
  <r>
    <d v="1899-12-30T17:15:00"/>
    <n v="89"/>
    <n v="8041.3033707865197"/>
    <x v="0"/>
  </r>
  <r>
    <d v="1899-12-30T09:10:00"/>
    <n v="57"/>
    <n v="8119.4561403508797"/>
    <x v="1"/>
  </r>
  <r>
    <d v="1899-12-30T06:45:00"/>
    <n v="38"/>
    <n v="13187.368421052601"/>
    <x v="1"/>
  </r>
  <r>
    <d v="1899-12-30T07:35:00"/>
    <n v="72"/>
    <n v="6139.1388888888896"/>
    <x v="1"/>
  </r>
  <r>
    <d v="1899-12-30T18:35:00"/>
    <n v="21"/>
    <n v="8111.3333333333303"/>
    <x v="0"/>
  </r>
  <r>
    <d v="1899-12-30T10:45:00"/>
    <n v="25"/>
    <n v="10538.64"/>
    <x v="1"/>
  </r>
  <r>
    <d v="1899-12-30T11:15:00"/>
    <n v="9"/>
    <n v="10206.1111111111"/>
    <x v="2"/>
  </r>
  <r>
    <d v="1899-12-30T13:55:00"/>
    <n v="49"/>
    <n v="9155.0816326530603"/>
    <x v="2"/>
  </r>
  <r>
    <d v="1899-12-30T08:10:00"/>
    <n v="13"/>
    <n v="7215.3846153846198"/>
    <x v="1"/>
  </r>
  <r>
    <d v="1899-12-30T19:35:00"/>
    <n v="94"/>
    <n v="4763.4787234042597"/>
    <x v="0"/>
  </r>
  <r>
    <d v="1899-12-30T14:10:00"/>
    <n v="28"/>
    <n v="7701.5"/>
    <x v="2"/>
  </r>
  <r>
    <d v="1899-12-30T09:00:00"/>
    <n v="184"/>
    <n v="9272.4673913043498"/>
    <x v="1"/>
  </r>
  <r>
    <d v="1899-12-30T18:15:00"/>
    <n v="66"/>
    <n v="12152.1818181818"/>
    <x v="0"/>
  </r>
  <r>
    <d v="1899-12-30T01:30:00"/>
    <n v="33"/>
    <n v="4329.7575757575796"/>
    <x v="3"/>
  </r>
  <r>
    <d v="1899-12-30T13:25:00"/>
    <n v="28"/>
    <n v="14434.392857142901"/>
    <x v="2"/>
  </r>
  <r>
    <d v="1899-12-30T14:05:00"/>
    <n v="163"/>
    <n v="13004.889570552101"/>
    <x v="2"/>
  </r>
  <r>
    <d v="1899-12-30T12:55:00"/>
    <n v="14"/>
    <n v="12975.9285714286"/>
    <x v="2"/>
  </r>
  <r>
    <d v="1899-12-30T15:25:00"/>
    <n v="2"/>
    <n v="13196"/>
    <x v="2"/>
  </r>
  <r>
    <d v="1899-12-30T19:05:00"/>
    <n v="23"/>
    <n v="3012"/>
    <x v="0"/>
  </r>
  <r>
    <d v="1899-12-30T18:25:00"/>
    <n v="46"/>
    <n v="8338.04347826087"/>
    <x v="0"/>
  </r>
  <r>
    <d v="1899-12-30T20:40:00"/>
    <n v="21"/>
    <n v="7192.3333333333303"/>
    <x v="0"/>
  </r>
  <r>
    <d v="1899-12-30T03:00:00"/>
    <n v="1"/>
    <n v="22294"/>
    <x v="3"/>
  </r>
  <r>
    <d v="1899-12-30T16:00:00"/>
    <n v="100"/>
    <n v="10339.89"/>
    <x v="2"/>
  </r>
  <r>
    <d v="1899-12-30T08:25:00"/>
    <n v="136"/>
    <n v="11876.0661764706"/>
    <x v="1"/>
  </r>
  <r>
    <d v="1899-12-30T17:45:00"/>
    <n v="118"/>
    <n v="6703.8050847457598"/>
    <x v="0"/>
  </r>
  <r>
    <d v="1899-12-30T03:05:00"/>
    <n v="2"/>
    <n v="4218.5"/>
    <x v="3"/>
  </r>
  <r>
    <d v="1899-12-30T14:45:00"/>
    <n v="17"/>
    <n v="3658.4117647058802"/>
    <x v="2"/>
  </r>
  <r>
    <d v="1899-12-30T01:35:00"/>
    <n v="1"/>
    <n v="9977"/>
    <x v="3"/>
  </r>
  <r>
    <d v="1899-12-30T17:50:00"/>
    <n v="13"/>
    <n v="19493.9230769231"/>
    <x v="0"/>
  </r>
  <r>
    <d v="1899-12-30T17:20:00"/>
    <n v="17"/>
    <n v="8235.0588235294108"/>
    <x v="0"/>
  </r>
  <r>
    <d v="1899-12-30T21:15:00"/>
    <n v="22"/>
    <n v="4041.8636363636401"/>
    <x v="0"/>
  </r>
  <r>
    <d v="1899-12-30T05:30:00"/>
    <n v="138"/>
    <n v="12207.253623188401"/>
    <x v="1"/>
  </r>
  <r>
    <d v="1899-12-30T10:20:00"/>
    <n v="159"/>
    <n v="7418.6100628930799"/>
    <x v="1"/>
  </r>
  <r>
    <d v="1899-12-30T20:55:00"/>
    <n v="78"/>
    <n v="9461.9102564102595"/>
    <x v="0"/>
  </r>
  <r>
    <d v="1899-12-30T22:15:00"/>
    <n v="26"/>
    <n v="4723.2307692307704"/>
    <x v="3"/>
  </r>
  <r>
    <d v="1899-12-30T08:20:00"/>
    <n v="114"/>
    <n v="6329.5087719298199"/>
    <x v="1"/>
  </r>
  <r>
    <d v="1899-12-30T19:20:00"/>
    <n v="13"/>
    <n v="3732.6923076923099"/>
    <x v="0"/>
  </r>
  <r>
    <d v="1899-12-30T03:50:00"/>
    <n v="21"/>
    <n v="10507.619047619"/>
    <x v="3"/>
  </r>
  <r>
    <d v="1899-12-30T20:20:00"/>
    <n v="79"/>
    <n v="7763.6202531645604"/>
    <x v="0"/>
  </r>
  <r>
    <d v="1899-12-30T16:30:00"/>
    <n v="109"/>
    <n v="11430.1467889908"/>
    <x v="2"/>
  </r>
  <r>
    <d v="1899-12-30T21:50:00"/>
    <n v="66"/>
    <n v="11429.5757575758"/>
    <x v="0"/>
  </r>
  <r>
    <d v="1899-12-30T05:15:00"/>
    <n v="56"/>
    <n v="7273.5535714285697"/>
    <x v="1"/>
  </r>
  <r>
    <d v="1899-12-30T19:10:00"/>
    <n v="53"/>
    <n v="13031.3962264151"/>
    <x v="0"/>
  </r>
  <r>
    <d v="1899-12-30T13:05:00"/>
    <n v="17"/>
    <n v="10294.1764705882"/>
    <x v="2"/>
  </r>
  <r>
    <d v="1899-12-30T22:45:00"/>
    <n v="40"/>
    <n v="2293.75"/>
    <x v="3"/>
  </r>
  <r>
    <d v="1899-12-30T22:00:00"/>
    <n v="51"/>
    <n v="10671.9215686275"/>
    <x v="3"/>
  </r>
  <r>
    <d v="1899-12-30T13:15:00"/>
    <n v="76"/>
    <n v="5013.6315789473701"/>
    <x v="2"/>
  </r>
  <r>
    <d v="1899-12-30T12:30:00"/>
    <n v="13"/>
    <n v="8376.3846153846207"/>
    <x v="2"/>
  </r>
  <r>
    <d v="1899-12-30T16:10:00"/>
    <n v="18"/>
    <n v="7640.2777777777801"/>
    <x v="2"/>
  </r>
  <r>
    <d v="1899-12-30T18:40:00"/>
    <n v="9"/>
    <n v="23872.333333333299"/>
    <x v="0"/>
  </r>
  <r>
    <d v="1899-12-30T08:15:00"/>
    <n v="17"/>
    <n v="8243.2352941176505"/>
    <x v="1"/>
  </r>
  <r>
    <d v="1899-12-30T17:30:00"/>
    <n v="90"/>
    <n v="11242.4222222222"/>
    <x v="0"/>
  </r>
  <r>
    <d v="1899-12-30T07:30:00"/>
    <n v="95"/>
    <n v="9732.2210526315794"/>
    <x v="1"/>
  </r>
  <r>
    <d v="1899-12-30T06:40:00"/>
    <n v="71"/>
    <n v="8997.4929577464809"/>
    <x v="1"/>
  </r>
  <r>
    <d v="1899-12-30T01:40:00"/>
    <n v="3"/>
    <n v="2754"/>
    <x v="3"/>
  </r>
  <r>
    <d v="1899-12-30T09:15:00"/>
    <n v="43"/>
    <n v="8044.4883720930202"/>
    <x v="1"/>
  </r>
  <r>
    <d v="1899-12-30T09:40:00"/>
    <n v="90"/>
    <n v="12750.333333333299"/>
    <x v="1"/>
  </r>
  <r>
    <d v="1899-12-30T12:00:00"/>
    <n v="98"/>
    <n v="8388.5714285714294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BC592-3886-E448-8255-CC02917CD327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C30" firstHeaderRow="0" firstDataRow="1" firstDataCol="1"/>
  <pivotFields count="4">
    <pivotField numFmtId="20" showAll="0"/>
    <pivotField dataField="1" showAll="0"/>
    <pivotField dataField="1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Bookings" fld="1" baseField="0" baseItem="0"/>
    <dataField name="Average of Avg_Far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C48F2-8248-A94F-8A68-9CDFC62D3BB9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23" firstHeaderRow="0" firstDataRow="1" firstDataCol="1"/>
  <pivotFields count="4">
    <pivotField axis="axisRow" showAll="0" sortType="descending">
      <items count="13">
        <item x="0"/>
        <item x="7"/>
        <item x="8"/>
        <item x="6"/>
        <item x="4"/>
        <item x="10"/>
        <item x="9"/>
        <item x="2"/>
        <item x="3"/>
        <item x="11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  <pivotField dataField="1" showAll="0"/>
  </pivotFields>
  <rowFields count="1">
    <field x="0"/>
  </rowFields>
  <rowItems count="13">
    <i>
      <x v="4"/>
    </i>
    <i>
      <x v="1"/>
    </i>
    <i>
      <x v="6"/>
    </i>
    <i>
      <x v="3"/>
    </i>
    <i>
      <x v="10"/>
    </i>
    <i>
      <x v="8"/>
    </i>
    <i>
      <x/>
    </i>
    <i>
      <x v="2"/>
    </i>
    <i>
      <x v="5"/>
    </i>
    <i>
      <x v="7"/>
    </i>
    <i>
      <x v="11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Revenue" fld="2" baseField="0" baseItem="0"/>
    <dataField name="Sum of Total_Bookings" fld="1" baseField="0" baseItem="0"/>
    <dataField name="Average of Avg_Fare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D33A37-92E3-C848-B82E-10CB32C52BB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H8" firstHeaderRow="1" firstDataRow="2" firstDataCol="1"/>
  <pivotFields count="4">
    <pivotField axis="axisRow" showAll="0">
      <items count="6">
        <item x="4"/>
        <item x="2"/>
        <item x="1"/>
        <item x="0"/>
        <item x="3"/>
        <item t="default"/>
      </items>
    </pivotField>
    <pivotField axis="axisCol" showAll="0">
      <items count="7">
        <item x="0"/>
        <item x="1"/>
        <item x="5"/>
        <item x="3"/>
        <item x="2"/>
        <item x="4"/>
        <item t="default"/>
      </items>
    </pivotField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Booking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250F83-25C0-AA45-8598-0296E20FCFE7}" name="Table1" displayName="Table1" ref="A2:D8" totalsRowShown="0" headerRowDxfId="11" dataDxfId="12">
  <autoFilter ref="A2:D8" xr:uid="{08250F83-25C0-AA45-8598-0296E20FCFE7}"/>
  <tableColumns count="4">
    <tableColumn id="1" xr3:uid="{1981C448-B11E-3B4C-9E7F-30201C1B7BDA}" name="Source" dataDxfId="16"/>
    <tableColumn id="2" xr3:uid="{F8251757-2AB6-6344-90C1-E10938625E2B}" name="Destination" dataDxfId="15"/>
    <tableColumn id="3" xr3:uid="{2C6D62E5-231B-7143-B1F6-3E7A37322F68}" name="Total_Bookings" dataDxfId="14"/>
    <tableColumn id="4" xr3:uid="{07A6146C-8296-3546-B8F7-DF32340D6227}" name="Avg_Far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EBAE0-FD2F-6340-9186-B86CFE8C9314}" name="Table2" displayName="Table2" ref="A11:D23" totalsRowShown="0" headerRowDxfId="5" dataDxfId="6">
  <autoFilter ref="A11:D23" xr:uid="{7CCEBAE0-FD2F-6340-9186-B86CFE8C9314}"/>
  <tableColumns count="4">
    <tableColumn id="1" xr3:uid="{256A0230-E6B9-A340-8C7A-A19E9A11D824}" name="Airline" dataDxfId="10"/>
    <tableColumn id="2" xr3:uid="{7183974E-B07B-E941-9B19-FFB17E28B946}" name="Total_Bookings" dataDxfId="9"/>
    <tableColumn id="3" xr3:uid="{4D2EBB5A-D0DD-9A44-8228-29B8228DE586}" name="Total_Revenue" dataDxfId="8"/>
    <tableColumn id="4" xr3:uid="{F19FA3B3-BA7D-4442-91CC-D968335BE2F0}" name="Avg_Far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696A28-BC4E-5349-95A6-87A673B257DF}" name="Table3" displayName="Table3" ref="A26:D248" totalsRowShown="0" headerRowDxfId="1">
  <autoFilter ref="A26:D248" xr:uid="{DD696A28-BC4E-5349-95A6-87A673B257DF}"/>
  <tableColumns count="4">
    <tableColumn id="1" xr3:uid="{5F79F95F-419A-2E45-9EEA-55C8EFD416D0}" name="Dep_Time" dataDxfId="4"/>
    <tableColumn id="2" xr3:uid="{1FE5B591-4238-AF43-80EA-1D4DD7521CE1}" name="Total_Bookings" dataDxfId="3"/>
    <tableColumn id="3" xr3:uid="{5852474D-9826-0144-949F-66AF28BD2774}" name="Avg_Fare" dataDxfId="2"/>
    <tableColumn id="5" xr3:uid="{95862108-C429-3447-A0F7-3B1513D2C8D3}" name="Time_Slot" dataDxfId="0">
      <calculatedColumnFormula>IF(AND(HOUR(A27)&gt;=4,HOUR(A27)&lt;11),"Morning",IF(AND(HOUR(A27)&gt;=11,HOUR(A27)&lt;17),"Afternoon",IF(AND(HOUR(A27)&gt;=17,HOUR(A27)&lt;22),"Evening","Night")))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0D3E0-9FDC-544D-B703-AEB713EE0EE8}">
  <dimension ref="A1:D248"/>
  <sheetViews>
    <sheetView tabSelected="1" topLeftCell="A27" zoomScaleNormal="100" workbookViewId="0">
      <selection activeCell="A27" sqref="A27:D248"/>
    </sheetView>
  </sheetViews>
  <sheetFormatPr baseColWidth="10" defaultRowHeight="16" x14ac:dyDescent="0.2"/>
  <cols>
    <col min="1" max="1" width="11.5" customWidth="1"/>
    <col min="2" max="3" width="16" customWidth="1"/>
    <col min="4" max="4" width="11" customWidth="1"/>
  </cols>
  <sheetData>
    <row r="1" spans="1:4" s="4" customFormat="1" x14ac:dyDescent="0.2">
      <c r="A1" s="4" t="s">
        <v>27</v>
      </c>
    </row>
    <row r="2" spans="1:4" x14ac:dyDescent="0.2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">
      <c r="A3" s="1" t="s">
        <v>4</v>
      </c>
      <c r="B3" s="2" t="s">
        <v>5</v>
      </c>
      <c r="C3" s="2">
        <v>2871</v>
      </c>
      <c r="D3" s="2">
        <v>9158.3894113549304</v>
      </c>
    </row>
    <row r="4" spans="1:4" x14ac:dyDescent="0.2">
      <c r="A4" s="1" t="s">
        <v>6</v>
      </c>
      <c r="B4" s="2" t="s">
        <v>7</v>
      </c>
      <c r="C4" s="2">
        <v>4537</v>
      </c>
      <c r="D4" s="2">
        <v>10539.4390566454</v>
      </c>
    </row>
    <row r="5" spans="1:4" x14ac:dyDescent="0.2">
      <c r="A5" s="1" t="s">
        <v>8</v>
      </c>
      <c r="B5" s="2" t="s">
        <v>4</v>
      </c>
      <c r="C5" s="2">
        <v>381</v>
      </c>
      <c r="D5" s="2">
        <v>4789.8923884514397</v>
      </c>
    </row>
    <row r="6" spans="1:4" x14ac:dyDescent="0.2">
      <c r="A6" s="1" t="s">
        <v>9</v>
      </c>
      <c r="B6" s="2" t="s">
        <v>10</v>
      </c>
      <c r="C6" s="2">
        <v>697</v>
      </c>
      <c r="D6" s="2">
        <v>5059.7087517933996</v>
      </c>
    </row>
    <row r="7" spans="1:4" x14ac:dyDescent="0.2">
      <c r="A7" s="1" t="s">
        <v>5</v>
      </c>
      <c r="B7" s="2" t="s">
        <v>11</v>
      </c>
      <c r="C7" s="2">
        <v>932</v>
      </c>
      <c r="D7" s="2">
        <v>11917.7167381974</v>
      </c>
    </row>
    <row r="8" spans="1:4" x14ac:dyDescent="0.2">
      <c r="A8" s="1" t="s">
        <v>5</v>
      </c>
      <c r="B8" s="2" t="s">
        <v>6</v>
      </c>
      <c r="C8" s="2">
        <v>1265</v>
      </c>
      <c r="D8" s="2">
        <v>5143.9185770751001</v>
      </c>
    </row>
    <row r="10" spans="1:4" x14ac:dyDescent="0.2">
      <c r="A10" s="1" t="s">
        <v>28</v>
      </c>
    </row>
    <row r="11" spans="1:4" x14ac:dyDescent="0.2">
      <c r="A11" s="1" t="s">
        <v>12</v>
      </c>
      <c r="B11" s="1" t="s">
        <v>2</v>
      </c>
      <c r="C11" s="1" t="s">
        <v>13</v>
      </c>
      <c r="D11" s="1" t="s">
        <v>3</v>
      </c>
    </row>
    <row r="12" spans="1:4" x14ac:dyDescent="0.2">
      <c r="A12" s="1" t="s">
        <v>14</v>
      </c>
      <c r="B12" s="2">
        <v>319</v>
      </c>
      <c r="C12" s="2">
        <v>1783293</v>
      </c>
      <c r="D12" s="2">
        <v>5590.2601880877801</v>
      </c>
    </row>
    <row r="13" spans="1:4" x14ac:dyDescent="0.2">
      <c r="A13" s="1" t="s">
        <v>15</v>
      </c>
      <c r="B13" s="2">
        <v>3</v>
      </c>
      <c r="C13" s="2">
        <v>26887</v>
      </c>
      <c r="D13" s="2">
        <v>8962.3333333333303</v>
      </c>
    </row>
    <row r="14" spans="1:4" x14ac:dyDescent="0.2">
      <c r="A14" s="1" t="s">
        <v>16</v>
      </c>
      <c r="B14" s="2">
        <v>13</v>
      </c>
      <c r="C14" s="2">
        <v>148445</v>
      </c>
      <c r="D14" s="2">
        <v>11418.8461538462</v>
      </c>
    </row>
    <row r="15" spans="1:4" x14ac:dyDescent="0.2">
      <c r="A15" s="1" t="s">
        <v>17</v>
      </c>
      <c r="B15" s="2">
        <v>818</v>
      </c>
      <c r="C15" s="2">
        <v>3548717</v>
      </c>
      <c r="D15" s="2">
        <v>4338.2848410757897</v>
      </c>
    </row>
    <row r="16" spans="1:4" x14ac:dyDescent="0.2">
      <c r="A16" s="1" t="s">
        <v>18</v>
      </c>
      <c r="B16" s="2">
        <v>3849</v>
      </c>
      <c r="C16" s="2">
        <v>44817461</v>
      </c>
      <c r="D16" s="2">
        <v>11643.923356716001</v>
      </c>
    </row>
    <row r="17" spans="1:4" x14ac:dyDescent="0.2">
      <c r="A17" s="1" t="s">
        <v>19</v>
      </c>
      <c r="B17" s="2">
        <v>479</v>
      </c>
      <c r="C17" s="2">
        <v>3734451</v>
      </c>
      <c r="D17" s="2">
        <v>7796.3486430062603</v>
      </c>
    </row>
    <row r="18" spans="1:4" x14ac:dyDescent="0.2">
      <c r="A18" s="1" t="s">
        <v>20</v>
      </c>
      <c r="B18" s="2">
        <v>2053</v>
      </c>
      <c r="C18" s="2">
        <v>11648071</v>
      </c>
      <c r="D18" s="2">
        <v>5673.6829030686804</v>
      </c>
    </row>
    <row r="19" spans="1:4" x14ac:dyDescent="0.2">
      <c r="A19" s="1" t="s">
        <v>21</v>
      </c>
      <c r="B19" s="2">
        <v>1752</v>
      </c>
      <c r="C19" s="2">
        <v>16838841</v>
      </c>
      <c r="D19" s="2">
        <v>9611.2106164383604</v>
      </c>
    </row>
    <row r="20" spans="1:4" x14ac:dyDescent="0.2">
      <c r="A20" s="1" t="s">
        <v>22</v>
      </c>
      <c r="B20" s="2">
        <v>194</v>
      </c>
      <c r="C20" s="2">
        <v>1137045</v>
      </c>
      <c r="D20" s="2">
        <v>5861.0567010309296</v>
      </c>
    </row>
    <row r="21" spans="1:4" x14ac:dyDescent="0.2">
      <c r="A21" s="1" t="s">
        <v>23</v>
      </c>
      <c r="B21" s="2">
        <v>1196</v>
      </c>
      <c r="C21" s="2">
        <v>13039603</v>
      </c>
      <c r="D21" s="2">
        <v>10902.6780936455</v>
      </c>
    </row>
    <row r="22" spans="1:4" x14ac:dyDescent="0.2">
      <c r="A22" s="1" t="s">
        <v>24</v>
      </c>
      <c r="B22" s="2">
        <v>6</v>
      </c>
      <c r="C22" s="2">
        <v>350152</v>
      </c>
      <c r="D22" s="2">
        <v>58358.666666666701</v>
      </c>
    </row>
    <row r="23" spans="1:4" x14ac:dyDescent="0.2">
      <c r="A23" s="1" t="s">
        <v>25</v>
      </c>
      <c r="B23" s="2">
        <v>1</v>
      </c>
      <c r="C23" s="2">
        <v>4140</v>
      </c>
      <c r="D23" s="2">
        <v>4140</v>
      </c>
    </row>
    <row r="25" spans="1:4" x14ac:dyDescent="0.2">
      <c r="A25" s="1" t="s">
        <v>29</v>
      </c>
    </row>
    <row r="26" spans="1:4" x14ac:dyDescent="0.2">
      <c r="A26" s="1" t="s">
        <v>26</v>
      </c>
      <c r="B26" s="1" t="s">
        <v>2</v>
      </c>
      <c r="C26" s="1" t="s">
        <v>3</v>
      </c>
      <c r="D26" s="1" t="s">
        <v>36</v>
      </c>
    </row>
    <row r="27" spans="1:4" x14ac:dyDescent="0.2">
      <c r="A27" s="3">
        <v>0.83333333333333337</v>
      </c>
      <c r="B27" s="2">
        <v>185</v>
      </c>
      <c r="C27" s="2">
        <v>10941.0054054054</v>
      </c>
      <c r="D27" s="2" t="str">
        <f t="shared" ref="D27:D90" si="0">IF(AND(HOUR(A27)&gt;=4,HOUR(A27)&lt;11),"Morning",IF(AND(HOUR(A27)&gt;=11,HOUR(A27)&lt;17),"Afternoon",IF(AND(HOUR(A27)&gt;=17,HOUR(A27)&lt;22),"Evening","Night")))</f>
        <v>Evening</v>
      </c>
    </row>
    <row r="28" spans="1:4" x14ac:dyDescent="0.2">
      <c r="A28" s="3">
        <v>0.27430555555555558</v>
      </c>
      <c r="B28" s="2">
        <v>2</v>
      </c>
      <c r="C28" s="2">
        <v>5438</v>
      </c>
      <c r="D28" s="2" t="str">
        <f t="shared" si="0"/>
        <v>Morning</v>
      </c>
    </row>
    <row r="29" spans="1:4" x14ac:dyDescent="0.2">
      <c r="A29" s="3">
        <v>0.85763888888888884</v>
      </c>
      <c r="B29" s="2">
        <v>19</v>
      </c>
      <c r="C29" s="2">
        <v>13245.052631578899</v>
      </c>
      <c r="D29" s="2" t="str">
        <f t="shared" si="0"/>
        <v>Evening</v>
      </c>
    </row>
    <row r="30" spans="1:4" x14ac:dyDescent="0.2">
      <c r="A30" s="3">
        <v>0.73263888888888884</v>
      </c>
      <c r="B30" s="2">
        <v>12</v>
      </c>
      <c r="C30" s="2">
        <v>6999</v>
      </c>
      <c r="D30" s="2" t="str">
        <f t="shared" si="0"/>
        <v>Evening</v>
      </c>
    </row>
    <row r="31" spans="1:4" x14ac:dyDescent="0.2">
      <c r="A31" s="3">
        <v>0.51388888888888884</v>
      </c>
      <c r="B31" s="2">
        <v>5</v>
      </c>
      <c r="C31" s="2">
        <v>12341</v>
      </c>
      <c r="D31" s="2" t="str">
        <f t="shared" si="0"/>
        <v>Afternoon</v>
      </c>
    </row>
    <row r="32" spans="1:4" x14ac:dyDescent="0.2">
      <c r="A32" s="3">
        <v>0.43402777777777779</v>
      </c>
      <c r="B32" s="2">
        <v>3</v>
      </c>
      <c r="C32" s="2">
        <v>8629.6666666666697</v>
      </c>
      <c r="D32" s="2" t="str">
        <f t="shared" si="0"/>
        <v>Morning</v>
      </c>
    </row>
    <row r="33" spans="1:4" x14ac:dyDescent="0.2">
      <c r="A33" s="3">
        <v>0.72569444444444442</v>
      </c>
      <c r="B33" s="2">
        <v>12</v>
      </c>
      <c r="C33" s="2">
        <v>13140.333333333299</v>
      </c>
      <c r="D33" s="2" t="str">
        <f t="shared" si="0"/>
        <v>Evening</v>
      </c>
    </row>
    <row r="34" spans="1:4" x14ac:dyDescent="0.2">
      <c r="A34" s="3">
        <v>0.74652777777777779</v>
      </c>
      <c r="B34" s="2">
        <v>21</v>
      </c>
      <c r="C34" s="2">
        <v>6427.3809523809496</v>
      </c>
      <c r="D34" s="2" t="str">
        <f t="shared" si="0"/>
        <v>Evening</v>
      </c>
    </row>
    <row r="35" spans="1:4" x14ac:dyDescent="0.2">
      <c r="A35" s="3">
        <v>0.70486111111111116</v>
      </c>
      <c r="B35" s="2">
        <v>109</v>
      </c>
      <c r="C35" s="2">
        <v>9955.0091743119301</v>
      </c>
      <c r="D35" s="2" t="str">
        <f t="shared" si="0"/>
        <v>Afternoon</v>
      </c>
    </row>
    <row r="36" spans="1:4" x14ac:dyDescent="0.2">
      <c r="A36" s="3">
        <v>0.63541666666666663</v>
      </c>
      <c r="B36" s="2">
        <v>91</v>
      </c>
      <c r="C36" s="2">
        <v>5944.6043956044005</v>
      </c>
      <c r="D36" s="2" t="str">
        <f t="shared" si="0"/>
        <v>Afternoon</v>
      </c>
    </row>
    <row r="37" spans="1:4" x14ac:dyDescent="0.2">
      <c r="A37" s="3">
        <v>0.32291666666666669</v>
      </c>
      <c r="B37" s="2">
        <v>37</v>
      </c>
      <c r="C37" s="2">
        <v>4847.9189189189201</v>
      </c>
      <c r="D37" s="2" t="str">
        <f t="shared" si="0"/>
        <v>Morning</v>
      </c>
    </row>
    <row r="38" spans="1:4" x14ac:dyDescent="0.2">
      <c r="A38" s="3">
        <v>0.24305555555555555</v>
      </c>
      <c r="B38" s="2">
        <v>78</v>
      </c>
      <c r="C38" s="2">
        <v>10848.3717948718</v>
      </c>
      <c r="D38" s="2" t="str">
        <f t="shared" si="0"/>
        <v>Morning</v>
      </c>
    </row>
    <row r="39" spans="1:4" x14ac:dyDescent="0.2">
      <c r="A39" s="3">
        <v>0.875</v>
      </c>
      <c r="B39" s="2">
        <v>44</v>
      </c>
      <c r="C39" s="2">
        <v>6516.1818181818198</v>
      </c>
      <c r="D39" s="2" t="str">
        <f t="shared" si="0"/>
        <v>Evening</v>
      </c>
    </row>
    <row r="40" spans="1:4" x14ac:dyDescent="0.2">
      <c r="A40" s="3">
        <v>0.69097222222222221</v>
      </c>
      <c r="B40" s="2">
        <v>5</v>
      </c>
      <c r="C40" s="2">
        <v>7244</v>
      </c>
      <c r="D40" s="2" t="str">
        <f t="shared" si="0"/>
        <v>Afternoon</v>
      </c>
    </row>
    <row r="41" spans="1:4" x14ac:dyDescent="0.2">
      <c r="A41" s="3">
        <v>9.375E-2</v>
      </c>
      <c r="B41" s="2">
        <v>80</v>
      </c>
      <c r="C41" s="2">
        <v>12769.362499999999</v>
      </c>
      <c r="D41" s="2" t="str">
        <f t="shared" si="0"/>
        <v>Night</v>
      </c>
    </row>
    <row r="42" spans="1:4" x14ac:dyDescent="0.2">
      <c r="A42" s="3">
        <v>0.78819444444444442</v>
      </c>
      <c r="B42" s="2">
        <v>233</v>
      </c>
      <c r="C42" s="2">
        <v>9556.2575107296107</v>
      </c>
      <c r="D42" s="2" t="str">
        <f t="shared" si="0"/>
        <v>Evening</v>
      </c>
    </row>
    <row r="43" spans="1:4" x14ac:dyDescent="0.2">
      <c r="A43" s="3">
        <v>0.2326388888888889</v>
      </c>
      <c r="B43" s="2">
        <v>28</v>
      </c>
      <c r="C43" s="2">
        <v>6281.8928571428596</v>
      </c>
      <c r="D43" s="2" t="str">
        <f t="shared" si="0"/>
        <v>Morning</v>
      </c>
    </row>
    <row r="44" spans="1:4" x14ac:dyDescent="0.2">
      <c r="A44" s="3">
        <v>0.4236111111111111</v>
      </c>
      <c r="B44" s="2">
        <v>35</v>
      </c>
      <c r="C44" s="2">
        <v>4625</v>
      </c>
      <c r="D44" s="2" t="str">
        <f t="shared" si="0"/>
        <v>Morning</v>
      </c>
    </row>
    <row r="45" spans="1:4" x14ac:dyDescent="0.2">
      <c r="A45" s="3">
        <v>0.76388888888888884</v>
      </c>
      <c r="B45" s="2">
        <v>11</v>
      </c>
      <c r="C45" s="2">
        <v>14588.272727272701</v>
      </c>
      <c r="D45" s="2" t="str">
        <f t="shared" si="0"/>
        <v>Evening</v>
      </c>
    </row>
    <row r="46" spans="1:4" x14ac:dyDescent="0.2">
      <c r="A46" s="3">
        <v>0.36458333333333331</v>
      </c>
      <c r="B46" s="2">
        <v>75</v>
      </c>
      <c r="C46" s="2">
        <v>7729.64</v>
      </c>
      <c r="D46" s="2" t="str">
        <f t="shared" si="0"/>
        <v>Morning</v>
      </c>
    </row>
    <row r="47" spans="1:4" x14ac:dyDescent="0.2">
      <c r="A47" s="3">
        <v>0.29166666666666669</v>
      </c>
      <c r="B47" s="2">
        <v>167</v>
      </c>
      <c r="C47" s="2">
        <v>10507.263473053899</v>
      </c>
      <c r="D47" s="2" t="str">
        <f t="shared" si="0"/>
        <v>Morning</v>
      </c>
    </row>
    <row r="48" spans="1:4" x14ac:dyDescent="0.2">
      <c r="A48" s="3">
        <v>0.59375</v>
      </c>
      <c r="B48" s="2">
        <v>31</v>
      </c>
      <c r="C48" s="2">
        <v>5853.2903225806504</v>
      </c>
      <c r="D48" s="2" t="str">
        <f t="shared" si="0"/>
        <v>Afternoon</v>
      </c>
    </row>
    <row r="49" spans="1:4" x14ac:dyDescent="0.2">
      <c r="A49" s="3">
        <v>0.35416666666666669</v>
      </c>
      <c r="B49" s="2">
        <v>69</v>
      </c>
      <c r="C49" s="2">
        <v>7025.9130434782601</v>
      </c>
      <c r="D49" s="2" t="str">
        <f t="shared" si="0"/>
        <v>Morning</v>
      </c>
    </row>
    <row r="50" spans="1:4" x14ac:dyDescent="0.2">
      <c r="A50" s="3">
        <v>0.94444444444444442</v>
      </c>
      <c r="B50" s="2">
        <v>9</v>
      </c>
      <c r="C50" s="2">
        <v>6556</v>
      </c>
      <c r="D50" s="2" t="str">
        <f t="shared" si="0"/>
        <v>Night</v>
      </c>
    </row>
    <row r="51" spans="1:4" x14ac:dyDescent="0.2">
      <c r="A51" s="3">
        <v>0.41666666666666669</v>
      </c>
      <c r="B51" s="2">
        <v>203</v>
      </c>
      <c r="C51" s="2">
        <v>10985.088669950699</v>
      </c>
      <c r="D51" s="2" t="str">
        <f t="shared" si="0"/>
        <v>Morning</v>
      </c>
    </row>
    <row r="52" spans="1:4" x14ac:dyDescent="0.2">
      <c r="A52" s="3">
        <v>0.12152777777777778</v>
      </c>
      <c r="B52" s="2">
        <v>46</v>
      </c>
      <c r="C52" s="2">
        <v>4581.4130434782601</v>
      </c>
      <c r="D52" s="2" t="str">
        <f t="shared" si="0"/>
        <v>Night</v>
      </c>
    </row>
    <row r="53" spans="1:4" x14ac:dyDescent="0.2">
      <c r="A53" s="3">
        <v>0.71527777777777779</v>
      </c>
      <c r="B53" s="2">
        <v>63</v>
      </c>
      <c r="C53" s="2">
        <v>4683.4603174603199</v>
      </c>
      <c r="D53" s="2" t="str">
        <f t="shared" si="0"/>
        <v>Evening</v>
      </c>
    </row>
    <row r="54" spans="1:4" x14ac:dyDescent="0.2">
      <c r="A54" s="3">
        <v>0.2951388888888889</v>
      </c>
      <c r="B54" s="2">
        <v>205</v>
      </c>
      <c r="C54" s="2">
        <v>9959.54146341464</v>
      </c>
      <c r="D54" s="2" t="str">
        <f t="shared" si="0"/>
        <v>Morning</v>
      </c>
    </row>
    <row r="55" spans="1:4" x14ac:dyDescent="0.2">
      <c r="A55" s="3">
        <v>0.46180555555555558</v>
      </c>
      <c r="B55" s="2">
        <v>12</v>
      </c>
      <c r="C55" s="2">
        <v>12212.5</v>
      </c>
      <c r="D55" s="2" t="str">
        <f t="shared" si="0"/>
        <v>Afternoon</v>
      </c>
    </row>
    <row r="56" spans="1:4" x14ac:dyDescent="0.2">
      <c r="A56" s="3">
        <v>0.56944444444444442</v>
      </c>
      <c r="B56" s="2">
        <v>4</v>
      </c>
      <c r="C56" s="2">
        <v>7925.25</v>
      </c>
      <c r="D56" s="2" t="str">
        <f t="shared" si="0"/>
        <v>Afternoon</v>
      </c>
    </row>
    <row r="57" spans="1:4" x14ac:dyDescent="0.2">
      <c r="A57" s="3">
        <v>0.84375</v>
      </c>
      <c r="B57" s="2">
        <v>14</v>
      </c>
      <c r="C57" s="2">
        <v>13383.785714285699</v>
      </c>
      <c r="D57" s="2" t="str">
        <f t="shared" si="0"/>
        <v>Evening</v>
      </c>
    </row>
    <row r="58" spans="1:4" x14ac:dyDescent="0.2">
      <c r="A58" s="3">
        <v>0.59722222222222221</v>
      </c>
      <c r="B58" s="2">
        <v>32</v>
      </c>
      <c r="C58" s="2">
        <v>6677.09375</v>
      </c>
      <c r="D58" s="2" t="str">
        <f t="shared" si="0"/>
        <v>Afternoon</v>
      </c>
    </row>
    <row r="59" spans="1:4" x14ac:dyDescent="0.2">
      <c r="A59" s="3">
        <v>0.92013888888888884</v>
      </c>
      <c r="B59" s="2">
        <v>27</v>
      </c>
      <c r="C59" s="2">
        <v>5390.3333333333303</v>
      </c>
      <c r="D59" s="2" t="str">
        <f t="shared" si="0"/>
        <v>Night</v>
      </c>
    </row>
    <row r="60" spans="1:4" x14ac:dyDescent="0.2">
      <c r="A60" s="3">
        <v>0.64930555555555558</v>
      </c>
      <c r="B60" s="2">
        <v>3</v>
      </c>
      <c r="C60" s="2">
        <v>6627</v>
      </c>
      <c r="D60" s="2" t="str">
        <f t="shared" si="0"/>
        <v>Afternoon</v>
      </c>
    </row>
    <row r="61" spans="1:4" x14ac:dyDescent="0.2">
      <c r="A61" s="3">
        <v>0.3576388888888889</v>
      </c>
      <c r="B61" s="2">
        <v>38</v>
      </c>
      <c r="C61" s="2">
        <v>6815.4210526315801</v>
      </c>
      <c r="D61" s="2" t="str">
        <f t="shared" si="0"/>
        <v>Morning</v>
      </c>
    </row>
    <row r="62" spans="1:4" x14ac:dyDescent="0.2">
      <c r="A62" s="3">
        <v>0.78125</v>
      </c>
      <c r="B62" s="2">
        <v>10</v>
      </c>
      <c r="C62" s="2">
        <v>12451.4</v>
      </c>
      <c r="D62" s="2" t="str">
        <f t="shared" si="0"/>
        <v>Evening</v>
      </c>
    </row>
    <row r="63" spans="1:4" x14ac:dyDescent="0.2">
      <c r="A63" s="3">
        <v>0.67708333333333337</v>
      </c>
      <c r="B63" s="2">
        <v>3</v>
      </c>
      <c r="C63" s="2">
        <v>5987</v>
      </c>
      <c r="D63" s="2" t="str">
        <f t="shared" si="0"/>
        <v>Afternoon</v>
      </c>
    </row>
    <row r="64" spans="1:4" x14ac:dyDescent="0.2">
      <c r="A64" s="3">
        <v>0.80208333333333337</v>
      </c>
      <c r="B64" s="2">
        <v>51</v>
      </c>
      <c r="C64" s="2">
        <v>12325.529411764701</v>
      </c>
      <c r="D64" s="2" t="str">
        <f t="shared" si="0"/>
        <v>Evening</v>
      </c>
    </row>
    <row r="65" spans="1:4" x14ac:dyDescent="0.2">
      <c r="A65" s="3">
        <v>0.5625</v>
      </c>
      <c r="B65" s="2">
        <v>12</v>
      </c>
      <c r="C65" s="2">
        <v>9654.0833333333303</v>
      </c>
      <c r="D65" s="2" t="str">
        <f t="shared" si="0"/>
        <v>Afternoon</v>
      </c>
    </row>
    <row r="66" spans="1:4" x14ac:dyDescent="0.2">
      <c r="A66" s="3">
        <v>0.27083333333333331</v>
      </c>
      <c r="B66" s="2">
        <v>140</v>
      </c>
      <c r="C66" s="2">
        <v>11592.8</v>
      </c>
      <c r="D66" s="2" t="str">
        <f t="shared" si="0"/>
        <v>Morning</v>
      </c>
    </row>
    <row r="67" spans="1:4" x14ac:dyDescent="0.2">
      <c r="A67" s="3">
        <v>0.62152777777777779</v>
      </c>
      <c r="B67" s="2">
        <v>26</v>
      </c>
      <c r="C67" s="2">
        <v>5867.5769230769201</v>
      </c>
      <c r="D67" s="2" t="str">
        <f t="shared" si="0"/>
        <v>Afternoon</v>
      </c>
    </row>
    <row r="68" spans="1:4" x14ac:dyDescent="0.2">
      <c r="A68" s="3">
        <v>0.92361111111111116</v>
      </c>
      <c r="B68" s="2">
        <v>32</v>
      </c>
      <c r="C68" s="2">
        <v>4051.3125</v>
      </c>
      <c r="D68" s="2" t="str">
        <f t="shared" si="0"/>
        <v>Night</v>
      </c>
    </row>
    <row r="69" spans="1:4" x14ac:dyDescent="0.2">
      <c r="A69" s="3">
        <v>0.86805555555555558</v>
      </c>
      <c r="B69" s="2">
        <v>8</v>
      </c>
      <c r="C69" s="2">
        <v>13850.625</v>
      </c>
      <c r="D69" s="2" t="str">
        <f t="shared" si="0"/>
        <v>Evening</v>
      </c>
    </row>
    <row r="70" spans="1:4" x14ac:dyDescent="0.2">
      <c r="A70" s="3">
        <v>0.50347222222222221</v>
      </c>
      <c r="B70" s="2">
        <v>1</v>
      </c>
      <c r="C70" s="2">
        <v>4588</v>
      </c>
      <c r="D70" s="2" t="str">
        <f t="shared" si="0"/>
        <v>Afternoon</v>
      </c>
    </row>
    <row r="71" spans="1:4" x14ac:dyDescent="0.2">
      <c r="A71" s="3">
        <v>0.24652777777777779</v>
      </c>
      <c r="B71" s="2">
        <v>78</v>
      </c>
      <c r="C71" s="2">
        <v>7164.7435897435898</v>
      </c>
      <c r="D71" s="2" t="str">
        <f t="shared" si="0"/>
        <v>Morning</v>
      </c>
    </row>
    <row r="72" spans="1:4" x14ac:dyDescent="0.2">
      <c r="A72" s="3">
        <v>0.95486111111111116</v>
      </c>
      <c r="B72" s="2">
        <v>17</v>
      </c>
      <c r="C72" s="2">
        <v>13320.1176470588</v>
      </c>
      <c r="D72" s="2" t="str">
        <f t="shared" si="0"/>
        <v>Night</v>
      </c>
    </row>
    <row r="73" spans="1:4" x14ac:dyDescent="0.2">
      <c r="A73" s="3">
        <v>0.64583333333333337</v>
      </c>
      <c r="B73" s="2">
        <v>21</v>
      </c>
      <c r="C73" s="2">
        <v>4644</v>
      </c>
      <c r="D73" s="2" t="str">
        <f t="shared" si="0"/>
        <v>Afternoon</v>
      </c>
    </row>
    <row r="74" spans="1:4" x14ac:dyDescent="0.2">
      <c r="A74" s="3">
        <v>0.4861111111111111</v>
      </c>
      <c r="B74" s="2">
        <v>161</v>
      </c>
      <c r="C74" s="2">
        <v>10590.5714285714</v>
      </c>
      <c r="D74" s="2" t="str">
        <f t="shared" si="0"/>
        <v>Afternoon</v>
      </c>
    </row>
    <row r="75" spans="1:4" x14ac:dyDescent="0.2">
      <c r="A75" s="3">
        <v>0.60763888888888884</v>
      </c>
      <c r="B75" s="2">
        <v>58</v>
      </c>
      <c r="C75" s="2">
        <v>10713.758620689699</v>
      </c>
      <c r="D75" s="2" t="str">
        <f t="shared" si="0"/>
        <v>Afternoon</v>
      </c>
    </row>
    <row r="76" spans="1:4" x14ac:dyDescent="0.2">
      <c r="A76" s="3">
        <v>0.19791666666666666</v>
      </c>
      <c r="B76" s="2">
        <v>21</v>
      </c>
      <c r="C76" s="2">
        <v>10776.9523809524</v>
      </c>
      <c r="D76" s="2" t="str">
        <f t="shared" si="0"/>
        <v>Morning</v>
      </c>
    </row>
    <row r="77" spans="1:4" x14ac:dyDescent="0.2">
      <c r="A77" s="3">
        <v>2.7777777777777776E-2</v>
      </c>
      <c r="B77" s="2">
        <v>6</v>
      </c>
      <c r="C77" s="2">
        <v>5251.3333333333303</v>
      </c>
      <c r="D77" s="2" t="str">
        <f t="shared" si="0"/>
        <v>Night</v>
      </c>
    </row>
    <row r="78" spans="1:4" x14ac:dyDescent="0.2">
      <c r="A78" s="3">
        <v>0.3298611111111111</v>
      </c>
      <c r="B78" s="2">
        <v>59</v>
      </c>
      <c r="C78" s="2">
        <v>5841.42372881356</v>
      </c>
      <c r="D78" s="2" t="str">
        <f t="shared" si="0"/>
        <v>Morning</v>
      </c>
    </row>
    <row r="79" spans="1:4" x14ac:dyDescent="0.2">
      <c r="A79" s="3">
        <v>0.70833333333333337</v>
      </c>
      <c r="B79" s="2">
        <v>227</v>
      </c>
      <c r="C79" s="2">
        <v>9941.0616740088099</v>
      </c>
      <c r="D79" s="2" t="str">
        <f t="shared" si="0"/>
        <v>Evening</v>
      </c>
    </row>
    <row r="80" spans="1:4" x14ac:dyDescent="0.2">
      <c r="A80" s="3">
        <v>0.87847222222222221</v>
      </c>
      <c r="B80" s="2">
        <v>61</v>
      </c>
      <c r="C80" s="2">
        <v>4688.8360655737697</v>
      </c>
      <c r="D80" s="2" t="str">
        <f t="shared" si="0"/>
        <v>Evening</v>
      </c>
    </row>
    <row r="81" spans="1:4" x14ac:dyDescent="0.2">
      <c r="A81" s="3">
        <v>0.2986111111111111</v>
      </c>
      <c r="B81" s="2">
        <v>202</v>
      </c>
      <c r="C81" s="2">
        <v>7435.4900990099004</v>
      </c>
      <c r="D81" s="2" t="str">
        <f t="shared" si="0"/>
        <v>Morning</v>
      </c>
    </row>
    <row r="82" spans="1:4" x14ac:dyDescent="0.2">
      <c r="A82" s="3">
        <v>0.10416666666666667</v>
      </c>
      <c r="B82" s="2">
        <v>8</v>
      </c>
      <c r="C82" s="2">
        <v>5123.375</v>
      </c>
      <c r="D82" s="2" t="str">
        <f t="shared" si="0"/>
        <v>Night</v>
      </c>
    </row>
    <row r="83" spans="1:4" x14ac:dyDescent="0.2">
      <c r="A83" s="3">
        <v>0.86458333333333337</v>
      </c>
      <c r="B83" s="2">
        <v>44</v>
      </c>
      <c r="C83" s="2">
        <v>6385.5681818181802</v>
      </c>
      <c r="D83" s="2" t="str">
        <f t="shared" si="0"/>
        <v>Evening</v>
      </c>
    </row>
    <row r="84" spans="1:4" x14ac:dyDescent="0.2">
      <c r="A84" s="3">
        <v>0.47222222222222221</v>
      </c>
      <c r="B84" s="2">
        <v>2</v>
      </c>
      <c r="C84" s="2">
        <v>5746</v>
      </c>
      <c r="D84" s="2" t="str">
        <f t="shared" si="0"/>
        <v>Afternoon</v>
      </c>
    </row>
    <row r="85" spans="1:4" x14ac:dyDescent="0.2">
      <c r="A85" s="3">
        <v>0.41319444444444442</v>
      </c>
      <c r="B85" s="2">
        <v>16</v>
      </c>
      <c r="C85" s="2">
        <v>13613.625</v>
      </c>
      <c r="D85" s="2" t="str">
        <f t="shared" si="0"/>
        <v>Morning</v>
      </c>
    </row>
    <row r="86" spans="1:4" x14ac:dyDescent="0.2">
      <c r="A86" s="3">
        <v>0.65277777777777779</v>
      </c>
      <c r="B86" s="2">
        <v>7</v>
      </c>
      <c r="C86" s="2">
        <v>7620.1428571428596</v>
      </c>
      <c r="D86" s="2" t="str">
        <f t="shared" si="0"/>
        <v>Afternoon</v>
      </c>
    </row>
    <row r="87" spans="1:4" x14ac:dyDescent="0.2">
      <c r="A87" s="3">
        <v>0.49305555555555558</v>
      </c>
      <c r="B87" s="2">
        <v>18</v>
      </c>
      <c r="C87" s="2">
        <v>10736.3888888889</v>
      </c>
      <c r="D87" s="2" t="str">
        <f t="shared" si="0"/>
        <v>Afternoon</v>
      </c>
    </row>
    <row r="88" spans="1:4" x14ac:dyDescent="0.2">
      <c r="A88" s="3">
        <v>0.60069444444444442</v>
      </c>
      <c r="B88" s="2">
        <v>56</v>
      </c>
      <c r="C88" s="2">
        <v>7288</v>
      </c>
      <c r="D88" s="2" t="str">
        <f t="shared" si="0"/>
        <v>Afternoon</v>
      </c>
    </row>
    <row r="89" spans="1:4" x14ac:dyDescent="0.2">
      <c r="A89" s="3">
        <v>0.83680555555555558</v>
      </c>
      <c r="B89" s="2">
        <v>22</v>
      </c>
      <c r="C89" s="2">
        <v>6708.3636363636397</v>
      </c>
      <c r="D89" s="2" t="str">
        <f t="shared" si="0"/>
        <v>Evening</v>
      </c>
    </row>
    <row r="90" spans="1:4" x14ac:dyDescent="0.2">
      <c r="A90" s="3">
        <v>0.3923611111111111</v>
      </c>
      <c r="B90" s="2">
        <v>85</v>
      </c>
      <c r="C90" s="2">
        <v>11468.858823529399</v>
      </c>
      <c r="D90" s="2" t="str">
        <f t="shared" si="0"/>
        <v>Morning</v>
      </c>
    </row>
    <row r="91" spans="1:4" x14ac:dyDescent="0.2">
      <c r="A91" s="3">
        <v>0.89236111111111116</v>
      </c>
      <c r="B91" s="2">
        <v>74</v>
      </c>
      <c r="C91" s="2">
        <v>9884.6351351351404</v>
      </c>
      <c r="D91" s="2" t="str">
        <f t="shared" ref="D91:D154" si="1">IF(AND(HOUR(A91)&gt;=4,HOUR(A91)&lt;11),"Morning",IF(AND(HOUR(A91)&gt;=11,HOUR(A91)&lt;17),"Afternoon",IF(AND(HOUR(A91)&gt;=17,HOUR(A91)&lt;22),"Evening","Night")))</f>
        <v>Evening</v>
      </c>
    </row>
    <row r="92" spans="1:4" x14ac:dyDescent="0.2">
      <c r="A92" s="3">
        <v>0.81944444444444442</v>
      </c>
      <c r="B92" s="2">
        <v>12</v>
      </c>
      <c r="C92" s="2">
        <v>9323.5833333333303</v>
      </c>
      <c r="D92" s="2" t="str">
        <f t="shared" si="1"/>
        <v>Evening</v>
      </c>
    </row>
    <row r="93" spans="1:4" x14ac:dyDescent="0.2">
      <c r="A93" s="3">
        <v>0.2361111111111111</v>
      </c>
      <c r="B93" s="2">
        <v>9</v>
      </c>
      <c r="C93" s="2">
        <v>14532.8888888889</v>
      </c>
      <c r="D93" s="2" t="str">
        <f t="shared" si="1"/>
        <v>Morning</v>
      </c>
    </row>
    <row r="94" spans="1:4" x14ac:dyDescent="0.2">
      <c r="A94" s="3">
        <v>0.45833333333333331</v>
      </c>
      <c r="B94" s="2">
        <v>30</v>
      </c>
      <c r="C94" s="2">
        <v>7704.9666666666699</v>
      </c>
      <c r="D94" s="2" t="str">
        <f t="shared" si="1"/>
        <v>Afternoon</v>
      </c>
    </row>
    <row r="95" spans="1:4" x14ac:dyDescent="0.2">
      <c r="A95" s="3">
        <v>0.2673611111111111</v>
      </c>
      <c r="B95" s="2">
        <v>22</v>
      </c>
      <c r="C95" s="2">
        <v>4279.5</v>
      </c>
      <c r="D95" s="2" t="str">
        <f t="shared" si="1"/>
        <v>Morning</v>
      </c>
    </row>
    <row r="96" spans="1:4" x14ac:dyDescent="0.2">
      <c r="A96" s="3">
        <v>0.82986111111111116</v>
      </c>
      <c r="B96" s="2">
        <v>38</v>
      </c>
      <c r="C96" s="2">
        <v>5735.3684210526299</v>
      </c>
      <c r="D96" s="2" t="str">
        <f t="shared" si="1"/>
        <v>Evening</v>
      </c>
    </row>
    <row r="97" spans="1:4" x14ac:dyDescent="0.2">
      <c r="A97" s="3">
        <v>0.16666666666666666</v>
      </c>
      <c r="B97" s="2">
        <v>49</v>
      </c>
      <c r="C97" s="2">
        <v>7330.4081632653097</v>
      </c>
      <c r="D97" s="2" t="str">
        <f t="shared" si="1"/>
        <v>Morning</v>
      </c>
    </row>
    <row r="98" spans="1:4" x14ac:dyDescent="0.2">
      <c r="A98" s="3">
        <v>0.50694444444444442</v>
      </c>
      <c r="B98" s="2">
        <v>3</v>
      </c>
      <c r="C98" s="2">
        <v>7614</v>
      </c>
      <c r="D98" s="2" t="str">
        <f t="shared" si="1"/>
        <v>Afternoon</v>
      </c>
    </row>
    <row r="99" spans="1:4" x14ac:dyDescent="0.2">
      <c r="A99" s="3">
        <v>0.89930555555555558</v>
      </c>
      <c r="B99" s="2">
        <v>1</v>
      </c>
      <c r="C99" s="2">
        <v>13882</v>
      </c>
      <c r="D99" s="2" t="str">
        <f t="shared" si="1"/>
        <v>Evening</v>
      </c>
    </row>
    <row r="100" spans="1:4" x14ac:dyDescent="0.2">
      <c r="A100" s="3">
        <v>0.4201388888888889</v>
      </c>
      <c r="B100" s="2">
        <v>6</v>
      </c>
      <c r="C100" s="2">
        <v>8136.5</v>
      </c>
      <c r="D100" s="2" t="str">
        <f t="shared" si="1"/>
        <v>Morning</v>
      </c>
    </row>
    <row r="101" spans="1:4" x14ac:dyDescent="0.2">
      <c r="A101" s="3">
        <v>0.69444444444444442</v>
      </c>
      <c r="B101" s="2">
        <v>30</v>
      </c>
      <c r="C101" s="2">
        <v>9648.6666666666697</v>
      </c>
      <c r="D101" s="2" t="str">
        <f t="shared" si="1"/>
        <v>Afternoon</v>
      </c>
    </row>
    <row r="102" spans="1:4" x14ac:dyDescent="0.2">
      <c r="A102" s="3">
        <v>0.93402777777777779</v>
      </c>
      <c r="B102" s="2">
        <v>1</v>
      </c>
      <c r="C102" s="2">
        <v>10091</v>
      </c>
      <c r="D102" s="2" t="str">
        <f t="shared" si="1"/>
        <v>Night</v>
      </c>
    </row>
    <row r="103" spans="1:4" x14ac:dyDescent="0.2">
      <c r="A103" s="3">
        <v>0.23958333333333334</v>
      </c>
      <c r="B103" s="2">
        <v>122</v>
      </c>
      <c r="C103" s="2">
        <v>10218.2131147541</v>
      </c>
      <c r="D103" s="2" t="str">
        <f t="shared" si="1"/>
        <v>Morning</v>
      </c>
    </row>
    <row r="104" spans="1:4" x14ac:dyDescent="0.2">
      <c r="A104" s="3">
        <v>0.63194444444444442</v>
      </c>
      <c r="B104" s="2">
        <v>33</v>
      </c>
      <c r="C104" s="2">
        <v>6045.5757575757598</v>
      </c>
      <c r="D104" s="2" t="str">
        <f t="shared" si="1"/>
        <v>Afternoon</v>
      </c>
    </row>
    <row r="105" spans="1:4" x14ac:dyDescent="0.2">
      <c r="A105" s="3">
        <v>0.3611111111111111</v>
      </c>
      <c r="B105" s="2">
        <v>3</v>
      </c>
      <c r="C105" s="2">
        <v>18559.666666666701</v>
      </c>
      <c r="D105" s="2" t="str">
        <f t="shared" si="1"/>
        <v>Morning</v>
      </c>
    </row>
    <row r="106" spans="1:4" x14ac:dyDescent="0.2">
      <c r="A106" s="3">
        <v>0.85069444444444442</v>
      </c>
      <c r="B106" s="2">
        <v>125</v>
      </c>
      <c r="C106" s="2">
        <v>10518.816000000001</v>
      </c>
      <c r="D106" s="2" t="str">
        <f t="shared" si="1"/>
        <v>Evening</v>
      </c>
    </row>
    <row r="107" spans="1:4" x14ac:dyDescent="0.2">
      <c r="A107" s="3">
        <v>0.95138888888888884</v>
      </c>
      <c r="B107" s="2">
        <v>114</v>
      </c>
      <c r="C107" s="2">
        <v>12047.1228070175</v>
      </c>
      <c r="D107" s="2" t="str">
        <f t="shared" si="1"/>
        <v>Night</v>
      </c>
    </row>
    <row r="108" spans="1:4" x14ac:dyDescent="0.2">
      <c r="A108" s="3">
        <v>0.70138888888888884</v>
      </c>
      <c r="B108" s="2">
        <v>35</v>
      </c>
      <c r="C108" s="2">
        <v>11496.342857142899</v>
      </c>
      <c r="D108" s="2" t="str">
        <f t="shared" si="1"/>
        <v>Afternoon</v>
      </c>
    </row>
    <row r="109" spans="1:4" x14ac:dyDescent="0.2">
      <c r="A109" s="3">
        <v>0.22569444444444445</v>
      </c>
      <c r="B109" s="2">
        <v>22</v>
      </c>
      <c r="C109" s="2">
        <v>13808.3636363636</v>
      </c>
      <c r="D109" s="2" t="str">
        <f t="shared" si="1"/>
        <v>Morning</v>
      </c>
    </row>
    <row r="110" spans="1:4" x14ac:dyDescent="0.2">
      <c r="A110" s="3">
        <v>0.90277777777777779</v>
      </c>
      <c r="B110" s="2">
        <v>1</v>
      </c>
      <c r="C110" s="2">
        <v>13832</v>
      </c>
      <c r="D110" s="2" t="str">
        <f t="shared" si="1"/>
        <v>Evening</v>
      </c>
    </row>
    <row r="111" spans="1:4" x14ac:dyDescent="0.2">
      <c r="A111" s="3">
        <v>0.33333333333333331</v>
      </c>
      <c r="B111" s="2">
        <v>152</v>
      </c>
      <c r="C111" s="2">
        <v>12788.5197368421</v>
      </c>
      <c r="D111" s="2" t="str">
        <f t="shared" si="1"/>
        <v>Morning</v>
      </c>
    </row>
    <row r="112" spans="1:4" x14ac:dyDescent="0.2">
      <c r="A112" s="3">
        <v>0.47916666666666669</v>
      </c>
      <c r="B112" s="2">
        <v>158</v>
      </c>
      <c r="C112" s="2">
        <v>10220.753164557</v>
      </c>
      <c r="D112" s="2" t="str">
        <f t="shared" si="1"/>
        <v>Afternoon</v>
      </c>
    </row>
    <row r="113" spans="1:4" x14ac:dyDescent="0.2">
      <c r="A113" s="3">
        <v>0.88194444444444442</v>
      </c>
      <c r="B113" s="2">
        <v>180</v>
      </c>
      <c r="C113" s="2">
        <v>9681.6666666666697</v>
      </c>
      <c r="D113" s="2" t="str">
        <f t="shared" si="1"/>
        <v>Evening</v>
      </c>
    </row>
    <row r="114" spans="1:4" x14ac:dyDescent="0.2">
      <c r="A114" s="3">
        <v>0.2638888888888889</v>
      </c>
      <c r="B114" s="2">
        <v>50</v>
      </c>
      <c r="C114" s="2">
        <v>5361.4</v>
      </c>
      <c r="D114" s="2" t="str">
        <f t="shared" si="1"/>
        <v>Morning</v>
      </c>
    </row>
    <row r="115" spans="1:4" x14ac:dyDescent="0.2">
      <c r="A115" s="3">
        <v>0.75347222222222221</v>
      </c>
      <c r="B115" s="2">
        <v>29</v>
      </c>
      <c r="C115" s="2">
        <v>6223.7586206896603</v>
      </c>
      <c r="D115" s="2" t="str">
        <f t="shared" si="1"/>
        <v>Evening</v>
      </c>
    </row>
    <row r="116" spans="1:4" x14ac:dyDescent="0.2">
      <c r="A116" s="3">
        <v>0.1076388888888889</v>
      </c>
      <c r="B116" s="2">
        <v>20</v>
      </c>
      <c r="C116" s="2">
        <v>4932.05</v>
      </c>
      <c r="D116" s="2" t="str">
        <f t="shared" si="1"/>
        <v>Night</v>
      </c>
    </row>
    <row r="117" spans="1:4" x14ac:dyDescent="0.2">
      <c r="A117" s="3">
        <v>0.30208333333333331</v>
      </c>
      <c r="B117" s="2">
        <v>9</v>
      </c>
      <c r="C117" s="2">
        <v>6161.5555555555602</v>
      </c>
      <c r="D117" s="2" t="str">
        <f t="shared" si="1"/>
        <v>Morning</v>
      </c>
    </row>
    <row r="118" spans="1:4" x14ac:dyDescent="0.2">
      <c r="A118" s="3">
        <v>0.19444444444444445</v>
      </c>
      <c r="B118" s="2">
        <v>25</v>
      </c>
      <c r="C118" s="2">
        <v>4669.6000000000004</v>
      </c>
      <c r="D118" s="2" t="str">
        <f t="shared" si="1"/>
        <v>Morning</v>
      </c>
    </row>
    <row r="119" spans="1:4" x14ac:dyDescent="0.2">
      <c r="A119" s="3">
        <v>0.25347222222222221</v>
      </c>
      <c r="B119" s="2">
        <v>53</v>
      </c>
      <c r="C119" s="2">
        <v>5689.9811320754698</v>
      </c>
      <c r="D119" s="2" t="str">
        <f t="shared" si="1"/>
        <v>Morning</v>
      </c>
    </row>
    <row r="120" spans="1:4" x14ac:dyDescent="0.2">
      <c r="A120" s="3">
        <v>0.65972222222222221</v>
      </c>
      <c r="B120" s="2">
        <v>15</v>
      </c>
      <c r="C120" s="2">
        <v>5028.0666666666702</v>
      </c>
      <c r="D120" s="2" t="str">
        <f t="shared" si="1"/>
        <v>Afternoon</v>
      </c>
    </row>
    <row r="121" spans="1:4" x14ac:dyDescent="0.2">
      <c r="A121" s="3">
        <v>0.84027777777777779</v>
      </c>
      <c r="B121" s="2">
        <v>5</v>
      </c>
      <c r="C121" s="2">
        <v>10032</v>
      </c>
      <c r="D121" s="2" t="str">
        <f t="shared" si="1"/>
        <v>Evening</v>
      </c>
    </row>
    <row r="122" spans="1:4" x14ac:dyDescent="0.2">
      <c r="A122" s="3">
        <v>0.96180555555555558</v>
      </c>
      <c r="B122" s="2">
        <v>66</v>
      </c>
      <c r="C122" s="2">
        <v>14133.9545454545</v>
      </c>
      <c r="D122" s="2" t="str">
        <f t="shared" si="1"/>
        <v>Night</v>
      </c>
    </row>
    <row r="123" spans="1:4" x14ac:dyDescent="0.2">
      <c r="A123" s="3">
        <v>0.40972222222222221</v>
      </c>
      <c r="B123" s="2">
        <v>40</v>
      </c>
      <c r="C123" s="2">
        <v>11514.4</v>
      </c>
      <c r="D123" s="2" t="str">
        <f t="shared" si="1"/>
        <v>Morning</v>
      </c>
    </row>
    <row r="124" spans="1:4" x14ac:dyDescent="0.2">
      <c r="A124" s="3">
        <v>2.0833333333333332E-2</v>
      </c>
      <c r="B124" s="2">
        <v>21</v>
      </c>
      <c r="C124" s="2">
        <v>6434.2857142857201</v>
      </c>
      <c r="D124" s="2" t="str">
        <f t="shared" si="1"/>
        <v>Night</v>
      </c>
    </row>
    <row r="125" spans="1:4" x14ac:dyDescent="0.2">
      <c r="A125" s="3">
        <v>0.4375</v>
      </c>
      <c r="B125" s="2">
        <v>22</v>
      </c>
      <c r="C125" s="2">
        <v>8362.4090909090901</v>
      </c>
      <c r="D125" s="2" t="str">
        <f t="shared" si="1"/>
        <v>Morning</v>
      </c>
    </row>
    <row r="126" spans="1:4" x14ac:dyDescent="0.2">
      <c r="A126" s="3">
        <v>0.44097222222222221</v>
      </c>
      <c r="B126" s="2">
        <v>63</v>
      </c>
      <c r="C126" s="2">
        <v>6971.8730158730204</v>
      </c>
      <c r="D126" s="2" t="str">
        <f t="shared" si="1"/>
        <v>Morning</v>
      </c>
    </row>
    <row r="127" spans="1:4" x14ac:dyDescent="0.2">
      <c r="A127" s="3">
        <v>0.25</v>
      </c>
      <c r="B127" s="2">
        <v>131</v>
      </c>
      <c r="C127" s="2">
        <v>8235.5343511450392</v>
      </c>
      <c r="D127" s="2" t="str">
        <f t="shared" si="1"/>
        <v>Morning</v>
      </c>
    </row>
    <row r="128" spans="1:4" x14ac:dyDescent="0.2">
      <c r="A128" s="3">
        <v>0.37152777777777779</v>
      </c>
      <c r="B128" s="2">
        <v>52</v>
      </c>
      <c r="C128" s="2">
        <v>14095.788461538499</v>
      </c>
      <c r="D128" s="2" t="str">
        <f t="shared" si="1"/>
        <v>Morning</v>
      </c>
    </row>
    <row r="129" spans="1:4" x14ac:dyDescent="0.2">
      <c r="A129" s="3">
        <v>0.66319444444444442</v>
      </c>
      <c r="B129" s="2">
        <v>16</v>
      </c>
      <c r="C129" s="2">
        <v>9033.8125</v>
      </c>
      <c r="D129" s="2" t="str">
        <f t="shared" si="1"/>
        <v>Afternoon</v>
      </c>
    </row>
    <row r="130" spans="1:4" x14ac:dyDescent="0.2">
      <c r="A130" s="3">
        <v>0.28819444444444442</v>
      </c>
      <c r="B130" s="2">
        <v>66</v>
      </c>
      <c r="C130" s="2">
        <v>4254.8939393939399</v>
      </c>
      <c r="D130" s="2" t="str">
        <f t="shared" si="1"/>
        <v>Morning</v>
      </c>
    </row>
    <row r="131" spans="1:4" x14ac:dyDescent="0.2">
      <c r="A131" s="3">
        <v>1.7361111111111112E-2</v>
      </c>
      <c r="B131" s="2">
        <v>7</v>
      </c>
      <c r="C131" s="2">
        <v>3737.5714285714298</v>
      </c>
      <c r="D131" s="2" t="str">
        <f t="shared" si="1"/>
        <v>Night</v>
      </c>
    </row>
    <row r="132" spans="1:4" x14ac:dyDescent="0.2">
      <c r="A132" s="3">
        <v>0.2013888888888889</v>
      </c>
      <c r="B132" s="2">
        <v>1</v>
      </c>
      <c r="C132" s="2">
        <v>4176</v>
      </c>
      <c r="D132" s="2" t="str">
        <f t="shared" si="1"/>
        <v>Morning</v>
      </c>
    </row>
    <row r="133" spans="1:4" x14ac:dyDescent="0.2">
      <c r="A133" s="3">
        <v>0.75</v>
      </c>
      <c r="B133" s="2">
        <v>14</v>
      </c>
      <c r="C133" s="2">
        <v>9047.3571428571395</v>
      </c>
      <c r="D133" s="2" t="str">
        <f t="shared" si="1"/>
        <v>Evening</v>
      </c>
    </row>
    <row r="134" spans="1:4" x14ac:dyDescent="0.2">
      <c r="A134" s="3">
        <v>0.30555555555555558</v>
      </c>
      <c r="B134" s="2">
        <v>2</v>
      </c>
      <c r="C134" s="2">
        <v>9301</v>
      </c>
      <c r="D134" s="2" t="str">
        <f t="shared" si="1"/>
        <v>Morning</v>
      </c>
    </row>
    <row r="135" spans="1:4" x14ac:dyDescent="0.2">
      <c r="A135" s="3">
        <v>0.69791666666666663</v>
      </c>
      <c r="B135" s="2">
        <v>62</v>
      </c>
      <c r="C135" s="2">
        <v>9879.8387096774204</v>
      </c>
      <c r="D135" s="2" t="str">
        <f t="shared" si="1"/>
        <v>Afternoon</v>
      </c>
    </row>
    <row r="136" spans="1:4" x14ac:dyDescent="0.2">
      <c r="A136" s="3">
        <v>8.6805555555555552E-2</v>
      </c>
      <c r="B136" s="2">
        <v>5</v>
      </c>
      <c r="C136" s="2">
        <v>8266.6</v>
      </c>
      <c r="D136" s="2" t="str">
        <f t="shared" si="1"/>
        <v>Night</v>
      </c>
    </row>
    <row r="137" spans="1:4" x14ac:dyDescent="0.2">
      <c r="A137" s="3">
        <v>0.4826388888888889</v>
      </c>
      <c r="B137" s="2">
        <v>45</v>
      </c>
      <c r="C137" s="2">
        <v>8107.4444444444398</v>
      </c>
      <c r="D137" s="2" t="str">
        <f t="shared" si="1"/>
        <v>Afternoon</v>
      </c>
    </row>
    <row r="138" spans="1:4" x14ac:dyDescent="0.2">
      <c r="A138" s="3">
        <v>0.99652777777777779</v>
      </c>
      <c r="B138" s="2">
        <v>25</v>
      </c>
      <c r="C138" s="2">
        <v>4568.8</v>
      </c>
      <c r="D138" s="2" t="str">
        <f t="shared" si="1"/>
        <v>Night</v>
      </c>
    </row>
    <row r="139" spans="1:4" x14ac:dyDescent="0.2">
      <c r="A139" s="3">
        <v>0.82638888888888884</v>
      </c>
      <c r="B139" s="2">
        <v>44</v>
      </c>
      <c r="C139" s="2">
        <v>6859.2272727272702</v>
      </c>
      <c r="D139" s="2" t="str">
        <f t="shared" si="1"/>
        <v>Evening</v>
      </c>
    </row>
    <row r="140" spans="1:4" x14ac:dyDescent="0.2">
      <c r="A140" s="3">
        <v>0.85416666666666663</v>
      </c>
      <c r="B140" s="2">
        <v>51</v>
      </c>
      <c r="C140" s="2">
        <v>8346.4509803921592</v>
      </c>
      <c r="D140" s="2" t="str">
        <f t="shared" si="1"/>
        <v>Evening</v>
      </c>
    </row>
    <row r="141" spans="1:4" x14ac:dyDescent="0.2">
      <c r="A141" s="3">
        <v>0.97916666666666663</v>
      </c>
      <c r="B141" s="2">
        <v>55</v>
      </c>
      <c r="C141" s="2">
        <v>6259.6545454545503</v>
      </c>
      <c r="D141" s="2" t="str">
        <f t="shared" si="1"/>
        <v>Night</v>
      </c>
    </row>
    <row r="142" spans="1:4" x14ac:dyDescent="0.2">
      <c r="A142" s="3">
        <v>0.4548611111111111</v>
      </c>
      <c r="B142" s="2">
        <v>20</v>
      </c>
      <c r="C142" s="2">
        <v>12624.6</v>
      </c>
      <c r="D142" s="2" t="str">
        <f t="shared" si="1"/>
        <v>Morning</v>
      </c>
    </row>
    <row r="143" spans="1:4" x14ac:dyDescent="0.2">
      <c r="A143" s="3">
        <v>0.58333333333333337</v>
      </c>
      <c r="B143" s="2">
        <v>71</v>
      </c>
      <c r="C143" s="2">
        <v>12001.7323943662</v>
      </c>
      <c r="D143" s="2" t="str">
        <f t="shared" si="1"/>
        <v>Afternoon</v>
      </c>
    </row>
    <row r="144" spans="1:4" x14ac:dyDescent="0.2">
      <c r="A144" s="3">
        <v>0.79166666666666663</v>
      </c>
      <c r="B144" s="2">
        <v>59</v>
      </c>
      <c r="C144" s="2">
        <v>8058.8644067796604</v>
      </c>
      <c r="D144" s="2" t="str">
        <f t="shared" si="1"/>
        <v>Evening</v>
      </c>
    </row>
    <row r="145" spans="1:4" x14ac:dyDescent="0.2">
      <c r="A145" s="3">
        <v>0.53472222222222221</v>
      </c>
      <c r="B145" s="2">
        <v>37</v>
      </c>
      <c r="C145" s="2">
        <v>9350.1621621621598</v>
      </c>
      <c r="D145" s="2" t="str">
        <f t="shared" si="1"/>
        <v>Afternoon</v>
      </c>
    </row>
    <row r="146" spans="1:4" x14ac:dyDescent="0.2">
      <c r="A146" s="3">
        <v>0.63888888888888884</v>
      </c>
      <c r="B146" s="2">
        <v>10</v>
      </c>
      <c r="C146" s="2">
        <v>4766.6000000000004</v>
      </c>
      <c r="D146" s="2" t="str">
        <f t="shared" si="1"/>
        <v>Afternoon</v>
      </c>
    </row>
    <row r="147" spans="1:4" x14ac:dyDescent="0.2">
      <c r="A147" s="3">
        <v>0.82291666666666663</v>
      </c>
      <c r="B147" s="2">
        <v>97</v>
      </c>
      <c r="C147" s="2">
        <v>11692.144329896901</v>
      </c>
      <c r="D147" s="2" t="str">
        <f t="shared" si="1"/>
        <v>Evening</v>
      </c>
    </row>
    <row r="148" spans="1:4" x14ac:dyDescent="0.2">
      <c r="A148" s="3">
        <v>0.55555555555555558</v>
      </c>
      <c r="B148" s="2">
        <v>53</v>
      </c>
      <c r="C148" s="2">
        <v>7667.0188679245302</v>
      </c>
      <c r="D148" s="2" t="str">
        <f t="shared" si="1"/>
        <v>Afternoon</v>
      </c>
    </row>
    <row r="149" spans="1:4" x14ac:dyDescent="0.2">
      <c r="A149" s="3">
        <v>0.61111111111111116</v>
      </c>
      <c r="B149" s="2">
        <v>24</v>
      </c>
      <c r="C149" s="2">
        <v>6502.4583333333303</v>
      </c>
      <c r="D149" s="2" t="str">
        <f t="shared" si="1"/>
        <v>Afternoon</v>
      </c>
    </row>
    <row r="150" spans="1:4" x14ac:dyDescent="0.2">
      <c r="A150" s="3">
        <v>0.97569444444444442</v>
      </c>
      <c r="B150" s="2">
        <v>8</v>
      </c>
      <c r="C150" s="2">
        <v>5741.125</v>
      </c>
      <c r="D150" s="2" t="str">
        <f t="shared" si="1"/>
        <v>Night</v>
      </c>
    </row>
    <row r="151" spans="1:4" x14ac:dyDescent="0.2">
      <c r="A151" s="3">
        <v>0.21180555555555555</v>
      </c>
      <c r="B151" s="2">
        <v>33</v>
      </c>
      <c r="C151" s="2">
        <v>7431.69696969697</v>
      </c>
      <c r="D151" s="2" t="str">
        <f t="shared" si="1"/>
        <v>Morning</v>
      </c>
    </row>
    <row r="152" spans="1:4" x14ac:dyDescent="0.2">
      <c r="A152" s="3">
        <v>0.39583333333333331</v>
      </c>
      <c r="B152" s="2">
        <v>68</v>
      </c>
      <c r="C152" s="2">
        <v>4940.8529411764703</v>
      </c>
      <c r="D152" s="2" t="str">
        <f t="shared" si="1"/>
        <v>Morning</v>
      </c>
    </row>
    <row r="153" spans="1:4" x14ac:dyDescent="0.2">
      <c r="A153" s="3">
        <v>0.49652777777777779</v>
      </c>
      <c r="B153" s="2">
        <v>19</v>
      </c>
      <c r="C153" s="2">
        <v>7896.3684210526299</v>
      </c>
      <c r="D153" s="2" t="str">
        <f t="shared" si="1"/>
        <v>Afternoon</v>
      </c>
    </row>
    <row r="154" spans="1:4" x14ac:dyDescent="0.2">
      <c r="A154" s="3">
        <v>0.73611111111111116</v>
      </c>
      <c r="B154" s="2">
        <v>19</v>
      </c>
      <c r="C154" s="2">
        <v>7589.7368421052597</v>
      </c>
      <c r="D154" s="2" t="str">
        <f t="shared" si="1"/>
        <v>Evening</v>
      </c>
    </row>
    <row r="155" spans="1:4" x14ac:dyDescent="0.2">
      <c r="A155" s="3">
        <v>0.51041666666666663</v>
      </c>
      <c r="B155" s="2">
        <v>6</v>
      </c>
      <c r="C155" s="2">
        <v>14300</v>
      </c>
      <c r="D155" s="2" t="str">
        <f t="shared" ref="D155:D218" si="2">IF(AND(HOUR(A155)&gt;=4,HOUR(A155)&lt;11),"Morning",IF(AND(HOUR(A155)&gt;=11,HOUR(A155)&lt;17),"Afternoon",IF(AND(HOUR(A155)&gt;=17,HOUR(A155)&lt;22),"Evening","Night")))</f>
        <v>Afternoon</v>
      </c>
    </row>
    <row r="156" spans="1:4" x14ac:dyDescent="0.2">
      <c r="A156" s="3">
        <v>0.3888888888888889</v>
      </c>
      <c r="B156" s="2">
        <v>10</v>
      </c>
      <c r="C156" s="2">
        <v>10821.3</v>
      </c>
      <c r="D156" s="2" t="str">
        <f t="shared" si="2"/>
        <v>Morning</v>
      </c>
    </row>
    <row r="157" spans="1:4" x14ac:dyDescent="0.2">
      <c r="A157" s="3">
        <v>0.95833333333333337</v>
      </c>
      <c r="B157" s="2">
        <v>7</v>
      </c>
      <c r="C157" s="2">
        <v>12572.285714285699</v>
      </c>
      <c r="D157" s="2" t="str">
        <f t="shared" si="2"/>
        <v>Night</v>
      </c>
    </row>
    <row r="158" spans="1:4" x14ac:dyDescent="0.2">
      <c r="A158" s="3">
        <v>0.71180555555555558</v>
      </c>
      <c r="B158" s="2">
        <v>14</v>
      </c>
      <c r="C158" s="2">
        <v>6262.5</v>
      </c>
      <c r="D158" s="2" t="str">
        <f t="shared" si="2"/>
        <v>Evening</v>
      </c>
    </row>
    <row r="159" spans="1:4" x14ac:dyDescent="0.2">
      <c r="A159" s="3">
        <v>0.48958333333333331</v>
      </c>
      <c r="B159" s="2">
        <v>11</v>
      </c>
      <c r="C159" s="2">
        <v>13662.4545454545</v>
      </c>
      <c r="D159" s="2" t="str">
        <f t="shared" si="2"/>
        <v>Afternoon</v>
      </c>
    </row>
    <row r="160" spans="1:4" x14ac:dyDescent="0.2">
      <c r="A160" s="3">
        <v>0.8125</v>
      </c>
      <c r="B160" s="2">
        <v>83</v>
      </c>
      <c r="C160" s="2">
        <v>8250.7951807228892</v>
      </c>
      <c r="D160" s="2" t="str">
        <f t="shared" si="2"/>
        <v>Evening</v>
      </c>
    </row>
    <row r="161" spans="1:4" x14ac:dyDescent="0.2">
      <c r="A161" s="3">
        <v>0.39930555555555558</v>
      </c>
      <c r="B161" s="2">
        <v>183</v>
      </c>
      <c r="C161" s="2">
        <v>10653.8360655738</v>
      </c>
      <c r="D161" s="2" t="str">
        <f t="shared" si="2"/>
        <v>Morning</v>
      </c>
    </row>
    <row r="162" spans="1:4" x14ac:dyDescent="0.2">
      <c r="A162" s="3">
        <v>0.20833333333333334</v>
      </c>
      <c r="B162" s="2">
        <v>18</v>
      </c>
      <c r="C162" s="2">
        <v>10312.3888888889</v>
      </c>
      <c r="D162" s="2" t="str">
        <f t="shared" si="2"/>
        <v>Morning</v>
      </c>
    </row>
    <row r="163" spans="1:4" x14ac:dyDescent="0.2">
      <c r="A163" s="3">
        <v>0.57638888888888884</v>
      </c>
      <c r="B163" s="2">
        <v>3</v>
      </c>
      <c r="C163" s="2">
        <v>12508.333333333299</v>
      </c>
      <c r="D163" s="2" t="str">
        <f t="shared" si="2"/>
        <v>Afternoon</v>
      </c>
    </row>
    <row r="164" spans="1:4" x14ac:dyDescent="0.2">
      <c r="A164" s="3">
        <v>0.46527777777777779</v>
      </c>
      <c r="B164" s="2">
        <v>71</v>
      </c>
      <c r="C164" s="2">
        <v>5470.1126760563402</v>
      </c>
      <c r="D164" s="2" t="str">
        <f t="shared" si="2"/>
        <v>Afternoon</v>
      </c>
    </row>
    <row r="165" spans="1:4" x14ac:dyDescent="0.2">
      <c r="A165" s="3">
        <v>0.65625</v>
      </c>
      <c r="B165" s="2">
        <v>15</v>
      </c>
      <c r="C165" s="2">
        <v>7145.2666666666701</v>
      </c>
      <c r="D165" s="2" t="str">
        <f t="shared" si="2"/>
        <v>Afternoon</v>
      </c>
    </row>
    <row r="166" spans="1:4" x14ac:dyDescent="0.2">
      <c r="A166" s="3">
        <v>0.77083333333333337</v>
      </c>
      <c r="B166" s="2">
        <v>5</v>
      </c>
      <c r="C166" s="2">
        <v>13275.6</v>
      </c>
      <c r="D166" s="2" t="str">
        <f t="shared" si="2"/>
        <v>Evening</v>
      </c>
    </row>
    <row r="167" spans="1:4" x14ac:dyDescent="0.2">
      <c r="A167" s="3">
        <v>0.91319444444444442</v>
      </c>
      <c r="B167" s="2">
        <v>3</v>
      </c>
      <c r="C167" s="2">
        <v>12395</v>
      </c>
      <c r="D167" s="2" t="str">
        <f t="shared" si="2"/>
        <v>Evening</v>
      </c>
    </row>
    <row r="168" spans="1:4" x14ac:dyDescent="0.2">
      <c r="A168" s="3">
        <v>0.2048611111111111</v>
      </c>
      <c r="B168" s="2">
        <v>73</v>
      </c>
      <c r="C168" s="2">
        <v>7154.0684931506903</v>
      </c>
      <c r="D168" s="2" t="str">
        <f t="shared" si="2"/>
        <v>Morning</v>
      </c>
    </row>
    <row r="169" spans="1:4" x14ac:dyDescent="0.2">
      <c r="A169" s="3">
        <v>0.17708333333333334</v>
      </c>
      <c r="B169" s="2">
        <v>1</v>
      </c>
      <c r="C169" s="2">
        <v>4150</v>
      </c>
      <c r="D169" s="2" t="str">
        <f t="shared" si="2"/>
        <v>Morning</v>
      </c>
    </row>
    <row r="170" spans="1:4" x14ac:dyDescent="0.2">
      <c r="A170" s="3">
        <v>0.93055555555555558</v>
      </c>
      <c r="B170" s="2">
        <v>70</v>
      </c>
      <c r="C170" s="2">
        <v>4832.7285714285699</v>
      </c>
      <c r="D170" s="2" t="str">
        <f t="shared" si="2"/>
        <v>Night</v>
      </c>
    </row>
    <row r="171" spans="1:4" x14ac:dyDescent="0.2">
      <c r="A171" s="3">
        <v>1.3888888888888888E-2</v>
      </c>
      <c r="B171" s="2">
        <v>6</v>
      </c>
      <c r="C171" s="2">
        <v>18635.333333333299</v>
      </c>
      <c r="D171" s="2" t="str">
        <f t="shared" si="2"/>
        <v>Night</v>
      </c>
    </row>
    <row r="172" spans="1:4" x14ac:dyDescent="0.2">
      <c r="A172" s="3">
        <v>0.47569444444444442</v>
      </c>
      <c r="B172" s="2">
        <v>44</v>
      </c>
      <c r="C172" s="2">
        <v>7736.8636363636397</v>
      </c>
      <c r="D172" s="2" t="str">
        <f t="shared" si="2"/>
        <v>Afternoon</v>
      </c>
    </row>
    <row r="173" spans="1:4" x14ac:dyDescent="0.2">
      <c r="A173" s="3">
        <v>0.28472222222222221</v>
      </c>
      <c r="B173" s="2">
        <v>70</v>
      </c>
      <c r="C173" s="2">
        <v>8477.7999999999993</v>
      </c>
      <c r="D173" s="2" t="str">
        <f t="shared" si="2"/>
        <v>Morning</v>
      </c>
    </row>
    <row r="174" spans="1:4" x14ac:dyDescent="0.2">
      <c r="A174" s="3">
        <v>0.25694444444444442</v>
      </c>
      <c r="B174" s="2">
        <v>42</v>
      </c>
      <c r="C174" s="2">
        <v>7449.3809523809496</v>
      </c>
      <c r="D174" s="2" t="str">
        <f t="shared" si="2"/>
        <v>Morning</v>
      </c>
    </row>
    <row r="175" spans="1:4" x14ac:dyDescent="0.2">
      <c r="A175" s="3">
        <v>0.54861111111111116</v>
      </c>
      <c r="B175" s="2">
        <v>8</v>
      </c>
      <c r="C175" s="2">
        <v>3617.25</v>
      </c>
      <c r="D175" s="2" t="str">
        <f t="shared" si="2"/>
        <v>Afternoon</v>
      </c>
    </row>
    <row r="176" spans="1:4" x14ac:dyDescent="0.2">
      <c r="A176" s="3">
        <v>0.36805555555555558</v>
      </c>
      <c r="B176" s="2">
        <v>28</v>
      </c>
      <c r="C176" s="2">
        <v>14336.4285714286</v>
      </c>
      <c r="D176" s="2" t="str">
        <f t="shared" si="2"/>
        <v>Morning</v>
      </c>
    </row>
    <row r="177" spans="1:4" x14ac:dyDescent="0.2">
      <c r="A177" s="3">
        <v>0.54166666666666663</v>
      </c>
      <c r="B177" s="2">
        <v>164</v>
      </c>
      <c r="C177" s="2">
        <v>10363.695121951199</v>
      </c>
      <c r="D177" s="2" t="str">
        <f t="shared" si="2"/>
        <v>Afternoon</v>
      </c>
    </row>
    <row r="178" spans="1:4" x14ac:dyDescent="0.2">
      <c r="A178" s="3">
        <v>0.60416666666666663</v>
      </c>
      <c r="B178" s="2">
        <v>17</v>
      </c>
      <c r="C178" s="2">
        <v>11637.647058823501</v>
      </c>
      <c r="D178" s="2" t="str">
        <f t="shared" si="2"/>
        <v>Afternoon</v>
      </c>
    </row>
    <row r="179" spans="1:4" x14ac:dyDescent="0.2">
      <c r="A179" s="3">
        <v>0.625</v>
      </c>
      <c r="B179" s="2">
        <v>72</v>
      </c>
      <c r="C179" s="2">
        <v>10061.1944444444</v>
      </c>
      <c r="D179" s="2" t="str">
        <f t="shared" si="2"/>
        <v>Afternoon</v>
      </c>
    </row>
    <row r="180" spans="1:4" x14ac:dyDescent="0.2">
      <c r="A180" s="3">
        <v>8.3333333333333329E-2</v>
      </c>
      <c r="B180" s="2">
        <v>35</v>
      </c>
      <c r="C180" s="2">
        <v>6292</v>
      </c>
      <c r="D180" s="2" t="str">
        <f t="shared" si="2"/>
        <v>Night</v>
      </c>
    </row>
    <row r="181" spans="1:4" x14ac:dyDescent="0.2">
      <c r="A181" s="3">
        <v>0.88888888888888884</v>
      </c>
      <c r="B181" s="2">
        <v>33</v>
      </c>
      <c r="C181" s="2">
        <v>3877.4848484848499</v>
      </c>
      <c r="D181" s="2" t="str">
        <f t="shared" si="2"/>
        <v>Evening</v>
      </c>
    </row>
    <row r="182" spans="1:4" x14ac:dyDescent="0.2">
      <c r="A182" s="3">
        <v>0.30902777777777779</v>
      </c>
      <c r="B182" s="2">
        <v>19</v>
      </c>
      <c r="C182" s="2">
        <v>5425.7368421052597</v>
      </c>
      <c r="D182" s="2" t="str">
        <f t="shared" si="2"/>
        <v>Morning</v>
      </c>
    </row>
    <row r="183" spans="1:4" x14ac:dyDescent="0.2">
      <c r="A183" s="3">
        <v>0.62847222222222221</v>
      </c>
      <c r="B183" s="2">
        <v>34</v>
      </c>
      <c r="C183" s="2">
        <v>12219.705882352901</v>
      </c>
      <c r="D183" s="2" t="str">
        <f t="shared" si="2"/>
        <v>Afternoon</v>
      </c>
    </row>
    <row r="184" spans="1:4" x14ac:dyDescent="0.2">
      <c r="A184" s="3">
        <v>0.21527777777777779</v>
      </c>
      <c r="B184" s="2">
        <v>47</v>
      </c>
      <c r="C184" s="2">
        <v>6490.7659574468098</v>
      </c>
      <c r="D184" s="2" t="str">
        <f t="shared" si="2"/>
        <v>Morning</v>
      </c>
    </row>
    <row r="185" spans="1:4" x14ac:dyDescent="0.2">
      <c r="A185" s="3">
        <v>0.26041666666666669</v>
      </c>
      <c r="B185" s="2">
        <v>2</v>
      </c>
      <c r="C185" s="2">
        <v>4226</v>
      </c>
      <c r="D185" s="2" t="str">
        <f t="shared" si="2"/>
        <v>Morning</v>
      </c>
    </row>
    <row r="186" spans="1:4" x14ac:dyDescent="0.2">
      <c r="A186" s="3">
        <v>0.89583333333333337</v>
      </c>
      <c r="B186" s="2">
        <v>7</v>
      </c>
      <c r="C186" s="2">
        <v>11027.142857142901</v>
      </c>
      <c r="D186" s="2" t="str">
        <f t="shared" si="2"/>
        <v>Evening</v>
      </c>
    </row>
    <row r="187" spans="1:4" x14ac:dyDescent="0.2">
      <c r="A187" s="3">
        <v>0.57291666666666663</v>
      </c>
      <c r="B187" s="2">
        <v>3</v>
      </c>
      <c r="C187" s="2">
        <v>16966.666666666701</v>
      </c>
      <c r="D187" s="2" t="str">
        <f t="shared" si="2"/>
        <v>Afternoon</v>
      </c>
    </row>
    <row r="188" spans="1:4" x14ac:dyDescent="0.2">
      <c r="A188" s="3">
        <v>0.68402777777777779</v>
      </c>
      <c r="B188" s="2">
        <v>1</v>
      </c>
      <c r="C188" s="2">
        <v>10198</v>
      </c>
      <c r="D188" s="2" t="str">
        <f t="shared" si="2"/>
        <v>Afternoon</v>
      </c>
    </row>
    <row r="189" spans="1:4" x14ac:dyDescent="0.2">
      <c r="A189" s="3">
        <v>0.40625</v>
      </c>
      <c r="B189" s="2">
        <v>140</v>
      </c>
      <c r="C189" s="2">
        <v>8017.25714285714</v>
      </c>
      <c r="D189" s="2" t="str">
        <f t="shared" si="2"/>
        <v>Morning</v>
      </c>
    </row>
    <row r="190" spans="1:4" x14ac:dyDescent="0.2">
      <c r="A190" s="3">
        <v>0.53125</v>
      </c>
      <c r="B190" s="2">
        <v>1</v>
      </c>
      <c r="C190" s="2">
        <v>13253</v>
      </c>
      <c r="D190" s="2" t="str">
        <f t="shared" si="2"/>
        <v>Afternoon</v>
      </c>
    </row>
    <row r="191" spans="1:4" x14ac:dyDescent="0.2">
      <c r="A191" s="3">
        <v>0.71875</v>
      </c>
      <c r="B191" s="2">
        <v>89</v>
      </c>
      <c r="C191" s="2">
        <v>8041.3033707865197</v>
      </c>
      <c r="D191" s="2" t="str">
        <f t="shared" si="2"/>
        <v>Evening</v>
      </c>
    </row>
    <row r="192" spans="1:4" x14ac:dyDescent="0.2">
      <c r="A192" s="3">
        <v>0.38194444444444442</v>
      </c>
      <c r="B192" s="2">
        <v>57</v>
      </c>
      <c r="C192" s="2">
        <v>8119.4561403508797</v>
      </c>
      <c r="D192" s="2" t="str">
        <f t="shared" si="2"/>
        <v>Morning</v>
      </c>
    </row>
    <row r="193" spans="1:4" x14ac:dyDescent="0.2">
      <c r="A193" s="3">
        <v>0.28125</v>
      </c>
      <c r="B193" s="2">
        <v>38</v>
      </c>
      <c r="C193" s="2">
        <v>13187.368421052601</v>
      </c>
      <c r="D193" s="2" t="str">
        <f t="shared" si="2"/>
        <v>Morning</v>
      </c>
    </row>
    <row r="194" spans="1:4" x14ac:dyDescent="0.2">
      <c r="A194" s="3">
        <v>0.31597222222222221</v>
      </c>
      <c r="B194" s="2">
        <v>72</v>
      </c>
      <c r="C194" s="2">
        <v>6139.1388888888896</v>
      </c>
      <c r="D194" s="2" t="str">
        <f t="shared" si="2"/>
        <v>Morning</v>
      </c>
    </row>
    <row r="195" spans="1:4" x14ac:dyDescent="0.2">
      <c r="A195" s="3">
        <v>0.77430555555555558</v>
      </c>
      <c r="B195" s="2">
        <v>21</v>
      </c>
      <c r="C195" s="2">
        <v>8111.3333333333303</v>
      </c>
      <c r="D195" s="2" t="str">
        <f t="shared" si="2"/>
        <v>Evening</v>
      </c>
    </row>
    <row r="196" spans="1:4" x14ac:dyDescent="0.2">
      <c r="A196" s="3">
        <v>0.44791666666666669</v>
      </c>
      <c r="B196" s="2">
        <v>25</v>
      </c>
      <c r="C196" s="2">
        <v>10538.64</v>
      </c>
      <c r="D196" s="2" t="str">
        <f t="shared" si="2"/>
        <v>Morning</v>
      </c>
    </row>
    <row r="197" spans="1:4" x14ac:dyDescent="0.2">
      <c r="A197" s="3">
        <v>0.46875</v>
      </c>
      <c r="B197" s="2">
        <v>9</v>
      </c>
      <c r="C197" s="2">
        <v>10206.1111111111</v>
      </c>
      <c r="D197" s="2" t="str">
        <f t="shared" si="2"/>
        <v>Afternoon</v>
      </c>
    </row>
    <row r="198" spans="1:4" x14ac:dyDescent="0.2">
      <c r="A198" s="3">
        <v>0.57986111111111116</v>
      </c>
      <c r="B198" s="2">
        <v>49</v>
      </c>
      <c r="C198" s="2">
        <v>9155.0816326530603</v>
      </c>
      <c r="D198" s="2" t="str">
        <f t="shared" si="2"/>
        <v>Afternoon</v>
      </c>
    </row>
    <row r="199" spans="1:4" x14ac:dyDescent="0.2">
      <c r="A199" s="3">
        <v>0.34027777777777779</v>
      </c>
      <c r="B199" s="2">
        <v>13</v>
      </c>
      <c r="C199" s="2">
        <v>7215.3846153846198</v>
      </c>
      <c r="D199" s="2" t="str">
        <f t="shared" si="2"/>
        <v>Morning</v>
      </c>
    </row>
    <row r="200" spans="1:4" x14ac:dyDescent="0.2">
      <c r="A200" s="3">
        <v>0.81597222222222221</v>
      </c>
      <c r="B200" s="2">
        <v>94</v>
      </c>
      <c r="C200" s="2">
        <v>4763.4787234042597</v>
      </c>
      <c r="D200" s="2" t="str">
        <f t="shared" si="2"/>
        <v>Evening</v>
      </c>
    </row>
    <row r="201" spans="1:4" x14ac:dyDescent="0.2">
      <c r="A201" s="3">
        <v>0.59027777777777779</v>
      </c>
      <c r="B201" s="2">
        <v>28</v>
      </c>
      <c r="C201" s="2">
        <v>7701.5</v>
      </c>
      <c r="D201" s="2" t="str">
        <f t="shared" si="2"/>
        <v>Afternoon</v>
      </c>
    </row>
    <row r="202" spans="1:4" x14ac:dyDescent="0.2">
      <c r="A202" s="3">
        <v>0.375</v>
      </c>
      <c r="B202" s="2">
        <v>184</v>
      </c>
      <c r="C202" s="2">
        <v>9272.4673913043498</v>
      </c>
      <c r="D202" s="2" t="str">
        <f t="shared" si="2"/>
        <v>Morning</v>
      </c>
    </row>
    <row r="203" spans="1:4" x14ac:dyDescent="0.2">
      <c r="A203" s="3">
        <v>0.76041666666666663</v>
      </c>
      <c r="B203" s="2">
        <v>66</v>
      </c>
      <c r="C203" s="2">
        <v>12152.1818181818</v>
      </c>
      <c r="D203" s="2" t="str">
        <f t="shared" si="2"/>
        <v>Evening</v>
      </c>
    </row>
    <row r="204" spans="1:4" x14ac:dyDescent="0.2">
      <c r="A204" s="3">
        <v>6.25E-2</v>
      </c>
      <c r="B204" s="2">
        <v>33</v>
      </c>
      <c r="C204" s="2">
        <v>4329.7575757575796</v>
      </c>
      <c r="D204" s="2" t="str">
        <f t="shared" si="2"/>
        <v>Night</v>
      </c>
    </row>
    <row r="205" spans="1:4" x14ac:dyDescent="0.2">
      <c r="A205" s="3">
        <v>0.55902777777777779</v>
      </c>
      <c r="B205" s="2">
        <v>28</v>
      </c>
      <c r="C205" s="2">
        <v>14434.392857142901</v>
      </c>
      <c r="D205" s="2" t="str">
        <f t="shared" si="2"/>
        <v>Afternoon</v>
      </c>
    </row>
    <row r="206" spans="1:4" x14ac:dyDescent="0.2">
      <c r="A206" s="3">
        <v>0.58680555555555558</v>
      </c>
      <c r="B206" s="2">
        <v>163</v>
      </c>
      <c r="C206" s="2">
        <v>13004.889570552101</v>
      </c>
      <c r="D206" s="2" t="str">
        <f t="shared" si="2"/>
        <v>Afternoon</v>
      </c>
    </row>
    <row r="207" spans="1:4" x14ac:dyDescent="0.2">
      <c r="A207" s="3">
        <v>0.53819444444444442</v>
      </c>
      <c r="B207" s="2">
        <v>14</v>
      </c>
      <c r="C207" s="2">
        <v>12975.9285714286</v>
      </c>
      <c r="D207" s="2" t="str">
        <f t="shared" si="2"/>
        <v>Afternoon</v>
      </c>
    </row>
    <row r="208" spans="1:4" x14ac:dyDescent="0.2">
      <c r="A208" s="3">
        <v>0.64236111111111116</v>
      </c>
      <c r="B208" s="2">
        <v>2</v>
      </c>
      <c r="C208" s="2">
        <v>13196</v>
      </c>
      <c r="D208" s="2" t="str">
        <f t="shared" si="2"/>
        <v>Afternoon</v>
      </c>
    </row>
    <row r="209" spans="1:4" x14ac:dyDescent="0.2">
      <c r="A209" s="3">
        <v>0.79513888888888884</v>
      </c>
      <c r="B209" s="2">
        <v>23</v>
      </c>
      <c r="C209" s="2">
        <v>3012</v>
      </c>
      <c r="D209" s="2" t="str">
        <f t="shared" si="2"/>
        <v>Evening</v>
      </c>
    </row>
    <row r="210" spans="1:4" x14ac:dyDescent="0.2">
      <c r="A210" s="3">
        <v>0.76736111111111116</v>
      </c>
      <c r="B210" s="2">
        <v>46</v>
      </c>
      <c r="C210" s="2">
        <v>8338.04347826087</v>
      </c>
      <c r="D210" s="2" t="str">
        <f t="shared" si="2"/>
        <v>Evening</v>
      </c>
    </row>
    <row r="211" spans="1:4" x14ac:dyDescent="0.2">
      <c r="A211" s="3">
        <v>0.86111111111111116</v>
      </c>
      <c r="B211" s="2">
        <v>21</v>
      </c>
      <c r="C211" s="2">
        <v>7192.3333333333303</v>
      </c>
      <c r="D211" s="2" t="str">
        <f t="shared" si="2"/>
        <v>Evening</v>
      </c>
    </row>
    <row r="212" spans="1:4" x14ac:dyDescent="0.2">
      <c r="A212" s="3">
        <v>0.125</v>
      </c>
      <c r="B212" s="2">
        <v>1</v>
      </c>
      <c r="C212" s="2">
        <v>22294</v>
      </c>
      <c r="D212" s="2" t="str">
        <f t="shared" si="2"/>
        <v>Night</v>
      </c>
    </row>
    <row r="213" spans="1:4" x14ac:dyDescent="0.2">
      <c r="A213" s="3">
        <v>0.66666666666666663</v>
      </c>
      <c r="B213" s="2">
        <v>100</v>
      </c>
      <c r="C213" s="2">
        <v>10339.89</v>
      </c>
      <c r="D213" s="2" t="str">
        <f t="shared" si="2"/>
        <v>Afternoon</v>
      </c>
    </row>
    <row r="214" spans="1:4" x14ac:dyDescent="0.2">
      <c r="A214" s="3">
        <v>0.35069444444444442</v>
      </c>
      <c r="B214" s="2">
        <v>136</v>
      </c>
      <c r="C214" s="2">
        <v>11876.0661764706</v>
      </c>
      <c r="D214" s="2" t="str">
        <f t="shared" si="2"/>
        <v>Morning</v>
      </c>
    </row>
    <row r="215" spans="1:4" x14ac:dyDescent="0.2">
      <c r="A215" s="3">
        <v>0.73958333333333337</v>
      </c>
      <c r="B215" s="2">
        <v>118</v>
      </c>
      <c r="C215" s="2">
        <v>6703.8050847457598</v>
      </c>
      <c r="D215" s="2" t="str">
        <f t="shared" si="2"/>
        <v>Evening</v>
      </c>
    </row>
    <row r="216" spans="1:4" x14ac:dyDescent="0.2">
      <c r="A216" s="3">
        <v>0.12847222222222221</v>
      </c>
      <c r="B216" s="2">
        <v>2</v>
      </c>
      <c r="C216" s="2">
        <v>4218.5</v>
      </c>
      <c r="D216" s="2" t="str">
        <f t="shared" si="2"/>
        <v>Night</v>
      </c>
    </row>
    <row r="217" spans="1:4" x14ac:dyDescent="0.2">
      <c r="A217" s="3">
        <v>0.61458333333333337</v>
      </c>
      <c r="B217" s="2">
        <v>17</v>
      </c>
      <c r="C217" s="2">
        <v>3658.4117647058802</v>
      </c>
      <c r="D217" s="2" t="str">
        <f t="shared" si="2"/>
        <v>Afternoon</v>
      </c>
    </row>
    <row r="218" spans="1:4" x14ac:dyDescent="0.2">
      <c r="A218" s="3">
        <v>6.5972222222222224E-2</v>
      </c>
      <c r="B218" s="2">
        <v>1</v>
      </c>
      <c r="C218" s="2">
        <v>9977</v>
      </c>
      <c r="D218" s="2" t="str">
        <f t="shared" si="2"/>
        <v>Night</v>
      </c>
    </row>
    <row r="219" spans="1:4" x14ac:dyDescent="0.2">
      <c r="A219" s="3">
        <v>0.74305555555555558</v>
      </c>
      <c r="B219" s="2">
        <v>13</v>
      </c>
      <c r="C219" s="2">
        <v>19493.9230769231</v>
      </c>
      <c r="D219" s="2" t="str">
        <f t="shared" ref="D219:D248" si="3">IF(AND(HOUR(A219)&gt;=4,HOUR(A219)&lt;11),"Morning",IF(AND(HOUR(A219)&gt;=11,HOUR(A219)&lt;17),"Afternoon",IF(AND(HOUR(A219)&gt;=17,HOUR(A219)&lt;22),"Evening","Night")))</f>
        <v>Evening</v>
      </c>
    </row>
    <row r="220" spans="1:4" x14ac:dyDescent="0.2">
      <c r="A220" s="3">
        <v>0.72222222222222221</v>
      </c>
      <c r="B220" s="2">
        <v>17</v>
      </c>
      <c r="C220" s="2">
        <v>8235.0588235294108</v>
      </c>
      <c r="D220" s="2" t="str">
        <f t="shared" si="3"/>
        <v>Evening</v>
      </c>
    </row>
    <row r="221" spans="1:4" x14ac:dyDescent="0.2">
      <c r="A221" s="3">
        <v>0.88541666666666663</v>
      </c>
      <c r="B221" s="2">
        <v>22</v>
      </c>
      <c r="C221" s="2">
        <v>4041.8636363636401</v>
      </c>
      <c r="D221" s="2" t="str">
        <f t="shared" si="3"/>
        <v>Evening</v>
      </c>
    </row>
    <row r="222" spans="1:4" x14ac:dyDescent="0.2">
      <c r="A222" s="3">
        <v>0.22916666666666666</v>
      </c>
      <c r="B222" s="2">
        <v>138</v>
      </c>
      <c r="C222" s="2">
        <v>12207.253623188401</v>
      </c>
      <c r="D222" s="2" t="str">
        <f t="shared" si="3"/>
        <v>Morning</v>
      </c>
    </row>
    <row r="223" spans="1:4" x14ac:dyDescent="0.2">
      <c r="A223" s="3">
        <v>0.43055555555555558</v>
      </c>
      <c r="B223" s="2">
        <v>159</v>
      </c>
      <c r="C223" s="2">
        <v>7418.6100628930799</v>
      </c>
      <c r="D223" s="2" t="str">
        <f t="shared" si="3"/>
        <v>Morning</v>
      </c>
    </row>
    <row r="224" spans="1:4" x14ac:dyDescent="0.2">
      <c r="A224" s="3">
        <v>0.87152777777777779</v>
      </c>
      <c r="B224" s="2">
        <v>78</v>
      </c>
      <c r="C224" s="2">
        <v>9461.9102564102595</v>
      </c>
      <c r="D224" s="2" t="str">
        <f t="shared" si="3"/>
        <v>Evening</v>
      </c>
    </row>
    <row r="225" spans="1:4" x14ac:dyDescent="0.2">
      <c r="A225" s="3">
        <v>0.92708333333333337</v>
      </c>
      <c r="B225" s="2">
        <v>26</v>
      </c>
      <c r="C225" s="2">
        <v>4723.2307692307704</v>
      </c>
      <c r="D225" s="2" t="str">
        <f t="shared" si="3"/>
        <v>Night</v>
      </c>
    </row>
    <row r="226" spans="1:4" x14ac:dyDescent="0.2">
      <c r="A226" s="3">
        <v>0.34722222222222221</v>
      </c>
      <c r="B226" s="2">
        <v>114</v>
      </c>
      <c r="C226" s="2">
        <v>6329.5087719298199</v>
      </c>
      <c r="D226" s="2" t="str">
        <f t="shared" si="3"/>
        <v>Morning</v>
      </c>
    </row>
    <row r="227" spans="1:4" x14ac:dyDescent="0.2">
      <c r="A227" s="3">
        <v>0.80555555555555558</v>
      </c>
      <c r="B227" s="2">
        <v>13</v>
      </c>
      <c r="C227" s="2">
        <v>3732.6923076923099</v>
      </c>
      <c r="D227" s="2" t="str">
        <f t="shared" si="3"/>
        <v>Evening</v>
      </c>
    </row>
    <row r="228" spans="1:4" x14ac:dyDescent="0.2">
      <c r="A228" s="3">
        <v>0.15972222222222221</v>
      </c>
      <c r="B228" s="2">
        <v>21</v>
      </c>
      <c r="C228" s="2">
        <v>10507.619047619</v>
      </c>
      <c r="D228" s="2" t="str">
        <f t="shared" si="3"/>
        <v>Night</v>
      </c>
    </row>
    <row r="229" spans="1:4" x14ac:dyDescent="0.2">
      <c r="A229" s="3">
        <v>0.84722222222222221</v>
      </c>
      <c r="B229" s="2">
        <v>79</v>
      </c>
      <c r="C229" s="2">
        <v>7763.6202531645604</v>
      </c>
      <c r="D229" s="2" t="str">
        <f t="shared" si="3"/>
        <v>Evening</v>
      </c>
    </row>
    <row r="230" spans="1:4" x14ac:dyDescent="0.2">
      <c r="A230" s="3">
        <v>0.6875</v>
      </c>
      <c r="B230" s="2">
        <v>109</v>
      </c>
      <c r="C230" s="2">
        <v>11430.1467889908</v>
      </c>
      <c r="D230" s="2" t="str">
        <f t="shared" si="3"/>
        <v>Afternoon</v>
      </c>
    </row>
    <row r="231" spans="1:4" x14ac:dyDescent="0.2">
      <c r="A231" s="3">
        <v>0.90972222222222221</v>
      </c>
      <c r="B231" s="2">
        <v>66</v>
      </c>
      <c r="C231" s="2">
        <v>11429.5757575758</v>
      </c>
      <c r="D231" s="2" t="str">
        <f t="shared" si="3"/>
        <v>Evening</v>
      </c>
    </row>
    <row r="232" spans="1:4" x14ac:dyDescent="0.2">
      <c r="A232" s="3">
        <v>0.21875</v>
      </c>
      <c r="B232" s="2">
        <v>56</v>
      </c>
      <c r="C232" s="2">
        <v>7273.5535714285697</v>
      </c>
      <c r="D232" s="2" t="str">
        <f t="shared" si="3"/>
        <v>Morning</v>
      </c>
    </row>
    <row r="233" spans="1:4" x14ac:dyDescent="0.2">
      <c r="A233" s="3">
        <v>0.79861111111111116</v>
      </c>
      <c r="B233" s="2">
        <v>53</v>
      </c>
      <c r="C233" s="2">
        <v>13031.3962264151</v>
      </c>
      <c r="D233" s="2" t="str">
        <f t="shared" si="3"/>
        <v>Evening</v>
      </c>
    </row>
    <row r="234" spans="1:4" x14ac:dyDescent="0.2">
      <c r="A234" s="3">
        <v>0.54513888888888884</v>
      </c>
      <c r="B234" s="2">
        <v>17</v>
      </c>
      <c r="C234" s="2">
        <v>10294.1764705882</v>
      </c>
      <c r="D234" s="2" t="str">
        <f t="shared" si="3"/>
        <v>Afternoon</v>
      </c>
    </row>
    <row r="235" spans="1:4" x14ac:dyDescent="0.2">
      <c r="A235" s="3">
        <v>0.94791666666666663</v>
      </c>
      <c r="B235" s="2">
        <v>40</v>
      </c>
      <c r="C235" s="2">
        <v>2293.75</v>
      </c>
      <c r="D235" s="2" t="str">
        <f t="shared" si="3"/>
        <v>Night</v>
      </c>
    </row>
    <row r="236" spans="1:4" x14ac:dyDescent="0.2">
      <c r="A236" s="3">
        <v>0.91666666666666663</v>
      </c>
      <c r="B236" s="2">
        <v>51</v>
      </c>
      <c r="C236" s="2">
        <v>10671.9215686275</v>
      </c>
      <c r="D236" s="2" t="str">
        <f t="shared" si="3"/>
        <v>Night</v>
      </c>
    </row>
    <row r="237" spans="1:4" x14ac:dyDescent="0.2">
      <c r="A237" s="3">
        <v>0.55208333333333337</v>
      </c>
      <c r="B237" s="2">
        <v>76</v>
      </c>
      <c r="C237" s="2">
        <v>5013.6315789473701</v>
      </c>
      <c r="D237" s="2" t="str">
        <f t="shared" si="3"/>
        <v>Afternoon</v>
      </c>
    </row>
    <row r="238" spans="1:4" x14ac:dyDescent="0.2">
      <c r="A238" s="3">
        <v>0.52083333333333337</v>
      </c>
      <c r="B238" s="2">
        <v>13</v>
      </c>
      <c r="C238" s="2">
        <v>8376.3846153846207</v>
      </c>
      <c r="D238" s="2" t="str">
        <f t="shared" si="3"/>
        <v>Afternoon</v>
      </c>
    </row>
    <row r="239" spans="1:4" x14ac:dyDescent="0.2">
      <c r="A239" s="3">
        <v>0.67361111111111116</v>
      </c>
      <c r="B239" s="2">
        <v>18</v>
      </c>
      <c r="C239" s="2">
        <v>7640.2777777777801</v>
      </c>
      <c r="D239" s="2" t="str">
        <f t="shared" si="3"/>
        <v>Afternoon</v>
      </c>
    </row>
    <row r="240" spans="1:4" x14ac:dyDescent="0.2">
      <c r="A240" s="3">
        <v>0.77777777777777779</v>
      </c>
      <c r="B240" s="2">
        <v>9</v>
      </c>
      <c r="C240" s="2">
        <v>23872.333333333299</v>
      </c>
      <c r="D240" s="2" t="str">
        <f t="shared" si="3"/>
        <v>Evening</v>
      </c>
    </row>
    <row r="241" spans="1:4" x14ac:dyDescent="0.2">
      <c r="A241" s="3">
        <v>0.34375</v>
      </c>
      <c r="B241" s="2">
        <v>17</v>
      </c>
      <c r="C241" s="2">
        <v>8243.2352941176505</v>
      </c>
      <c r="D241" s="2" t="str">
        <f t="shared" si="3"/>
        <v>Morning</v>
      </c>
    </row>
    <row r="242" spans="1:4" x14ac:dyDescent="0.2">
      <c r="A242" s="3">
        <v>0.72916666666666663</v>
      </c>
      <c r="B242" s="2">
        <v>90</v>
      </c>
      <c r="C242" s="2">
        <v>11242.4222222222</v>
      </c>
      <c r="D242" s="2" t="str">
        <f t="shared" si="3"/>
        <v>Evening</v>
      </c>
    </row>
    <row r="243" spans="1:4" x14ac:dyDescent="0.2">
      <c r="A243" s="3">
        <v>0.3125</v>
      </c>
      <c r="B243" s="2">
        <v>95</v>
      </c>
      <c r="C243" s="2">
        <v>9732.2210526315794</v>
      </c>
      <c r="D243" s="2" t="str">
        <f t="shared" si="3"/>
        <v>Morning</v>
      </c>
    </row>
    <row r="244" spans="1:4" x14ac:dyDescent="0.2">
      <c r="A244" s="3">
        <v>0.27777777777777779</v>
      </c>
      <c r="B244" s="2">
        <v>71</v>
      </c>
      <c r="C244" s="2">
        <v>8997.4929577464809</v>
      </c>
      <c r="D244" s="2" t="str">
        <f t="shared" si="3"/>
        <v>Morning</v>
      </c>
    </row>
    <row r="245" spans="1:4" x14ac:dyDescent="0.2">
      <c r="A245" s="3">
        <v>6.9444444444444448E-2</v>
      </c>
      <c r="B245" s="2">
        <v>3</v>
      </c>
      <c r="C245" s="2">
        <v>2754</v>
      </c>
      <c r="D245" s="2" t="str">
        <f t="shared" si="3"/>
        <v>Night</v>
      </c>
    </row>
    <row r="246" spans="1:4" x14ac:dyDescent="0.2">
      <c r="A246" s="3">
        <v>0.38541666666666669</v>
      </c>
      <c r="B246" s="2">
        <v>43</v>
      </c>
      <c r="C246" s="2">
        <v>8044.4883720930202</v>
      </c>
      <c r="D246" s="2" t="str">
        <f t="shared" si="3"/>
        <v>Morning</v>
      </c>
    </row>
    <row r="247" spans="1:4" x14ac:dyDescent="0.2">
      <c r="A247" s="3">
        <v>0.40277777777777779</v>
      </c>
      <c r="B247" s="2">
        <v>90</v>
      </c>
      <c r="C247" s="2">
        <v>12750.333333333299</v>
      </c>
      <c r="D247" s="2" t="str">
        <f t="shared" si="3"/>
        <v>Morning</v>
      </c>
    </row>
    <row r="248" spans="1:4" x14ac:dyDescent="0.2">
      <c r="A248" s="3">
        <v>0.5</v>
      </c>
      <c r="B248" s="2">
        <v>98</v>
      </c>
      <c r="C248" s="2">
        <v>8388.5714285714294</v>
      </c>
      <c r="D248" s="2" t="str">
        <f t="shared" si="3"/>
        <v>Afternoon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26C4C-BBF5-9640-8293-680276174166}">
  <dimension ref="A1:H30"/>
  <sheetViews>
    <sheetView zoomScaleNormal="100" workbookViewId="0">
      <selection activeCell="G37" sqref="G37"/>
    </sheetView>
  </sheetViews>
  <sheetFormatPr baseColWidth="10" defaultRowHeight="16" x14ac:dyDescent="0.2"/>
  <cols>
    <col min="1" max="1" width="13" bestFit="1" customWidth="1"/>
    <col min="2" max="2" width="19.83203125" bestFit="1" customWidth="1"/>
    <col min="3" max="4" width="17.83203125" bestFit="1" customWidth="1"/>
    <col min="5" max="5" width="10" bestFit="1" customWidth="1"/>
    <col min="6" max="6" width="7.5" bestFit="1" customWidth="1"/>
    <col min="7" max="7" width="9.5" bestFit="1" customWidth="1"/>
    <col min="8" max="8" width="10.5" bestFit="1" customWidth="1"/>
  </cols>
  <sheetData>
    <row r="1" spans="1:8" x14ac:dyDescent="0.2">
      <c r="A1" s="5" t="s">
        <v>33</v>
      </c>
      <c r="B1" s="5" t="s">
        <v>32</v>
      </c>
    </row>
    <row r="2" spans="1:8" x14ac:dyDescent="0.2">
      <c r="A2" s="5" t="s">
        <v>30</v>
      </c>
      <c r="B2" t="s">
        <v>5</v>
      </c>
      <c r="C2" t="s">
        <v>7</v>
      </c>
      <c r="D2" t="s">
        <v>6</v>
      </c>
      <c r="E2" t="s">
        <v>10</v>
      </c>
      <c r="F2" t="s">
        <v>4</v>
      </c>
      <c r="G2" t="s">
        <v>11</v>
      </c>
      <c r="H2" t="s">
        <v>31</v>
      </c>
    </row>
    <row r="3" spans="1:8" x14ac:dyDescent="0.2">
      <c r="A3" s="6" t="s">
        <v>5</v>
      </c>
      <c r="B3" s="7"/>
      <c r="C3" s="7"/>
      <c r="D3" s="7">
        <v>1265</v>
      </c>
      <c r="E3" s="7"/>
      <c r="F3" s="7"/>
      <c r="G3" s="7">
        <v>932</v>
      </c>
      <c r="H3" s="7">
        <v>2197</v>
      </c>
    </row>
    <row r="4" spans="1:8" x14ac:dyDescent="0.2">
      <c r="A4" s="6" t="s">
        <v>8</v>
      </c>
      <c r="B4" s="7"/>
      <c r="C4" s="7"/>
      <c r="D4" s="7"/>
      <c r="E4" s="7"/>
      <c r="F4" s="7">
        <v>381</v>
      </c>
      <c r="G4" s="7"/>
      <c r="H4" s="7">
        <v>381</v>
      </c>
    </row>
    <row r="5" spans="1:8" x14ac:dyDescent="0.2">
      <c r="A5" s="6" t="s">
        <v>6</v>
      </c>
      <c r="B5" s="7"/>
      <c r="C5" s="7">
        <v>4537</v>
      </c>
      <c r="D5" s="7"/>
      <c r="E5" s="7"/>
      <c r="F5" s="7"/>
      <c r="G5" s="7"/>
      <c r="H5" s="7">
        <v>4537</v>
      </c>
    </row>
    <row r="6" spans="1:8" x14ac:dyDescent="0.2">
      <c r="A6" s="6" t="s">
        <v>4</v>
      </c>
      <c r="B6" s="7">
        <v>2871</v>
      </c>
      <c r="C6" s="7"/>
      <c r="D6" s="7"/>
      <c r="E6" s="7"/>
      <c r="F6" s="7"/>
      <c r="G6" s="7"/>
      <c r="H6" s="7">
        <v>2871</v>
      </c>
    </row>
    <row r="7" spans="1:8" x14ac:dyDescent="0.2">
      <c r="A7" s="6" t="s">
        <v>9</v>
      </c>
      <c r="B7" s="7"/>
      <c r="C7" s="7"/>
      <c r="D7" s="7"/>
      <c r="E7" s="7">
        <v>697</v>
      </c>
      <c r="F7" s="7"/>
      <c r="G7" s="7"/>
      <c r="H7" s="7">
        <v>697</v>
      </c>
    </row>
    <row r="8" spans="1:8" x14ac:dyDescent="0.2">
      <c r="A8" s="6" t="s">
        <v>31</v>
      </c>
      <c r="B8" s="7">
        <v>2871</v>
      </c>
      <c r="C8" s="7">
        <v>4537</v>
      </c>
      <c r="D8" s="7">
        <v>1265</v>
      </c>
      <c r="E8" s="7">
        <v>697</v>
      </c>
      <c r="F8" s="7">
        <v>381</v>
      </c>
      <c r="G8" s="7">
        <v>932</v>
      </c>
      <c r="H8" s="7">
        <v>10683</v>
      </c>
    </row>
    <row r="10" spans="1:8" x14ac:dyDescent="0.2">
      <c r="A10" s="5" t="s">
        <v>30</v>
      </c>
      <c r="B10" t="s">
        <v>34</v>
      </c>
      <c r="C10" t="s">
        <v>33</v>
      </c>
      <c r="D10" t="s">
        <v>35</v>
      </c>
    </row>
    <row r="11" spans="1:8" x14ac:dyDescent="0.2">
      <c r="A11" s="6" t="s">
        <v>18</v>
      </c>
      <c r="B11" s="7">
        <v>44817461</v>
      </c>
      <c r="C11" s="7">
        <v>3849</v>
      </c>
      <c r="D11" s="7">
        <v>11643.923356716001</v>
      </c>
    </row>
    <row r="12" spans="1:8" x14ac:dyDescent="0.2">
      <c r="A12" s="6" t="s">
        <v>21</v>
      </c>
      <c r="B12" s="7">
        <v>16838841</v>
      </c>
      <c r="C12" s="7">
        <v>1752</v>
      </c>
      <c r="D12" s="7">
        <v>9611.2106164383604</v>
      </c>
    </row>
    <row r="13" spans="1:8" x14ac:dyDescent="0.2">
      <c r="A13" s="6" t="s">
        <v>23</v>
      </c>
      <c r="B13" s="7">
        <v>13039603</v>
      </c>
      <c r="C13" s="7">
        <v>1196</v>
      </c>
      <c r="D13" s="7">
        <v>10902.6780936455</v>
      </c>
    </row>
    <row r="14" spans="1:8" x14ac:dyDescent="0.2">
      <c r="A14" s="6" t="s">
        <v>20</v>
      </c>
      <c r="B14" s="7">
        <v>11648071</v>
      </c>
      <c r="C14" s="7">
        <v>2053</v>
      </c>
      <c r="D14" s="7">
        <v>5673.6829030686804</v>
      </c>
    </row>
    <row r="15" spans="1:8" x14ac:dyDescent="0.2">
      <c r="A15" s="6" t="s">
        <v>19</v>
      </c>
      <c r="B15" s="7">
        <v>3734451</v>
      </c>
      <c r="C15" s="7">
        <v>479</v>
      </c>
      <c r="D15" s="7">
        <v>7796.3486430062603</v>
      </c>
    </row>
    <row r="16" spans="1:8" x14ac:dyDescent="0.2">
      <c r="A16" s="6" t="s">
        <v>17</v>
      </c>
      <c r="B16" s="7">
        <v>3548717</v>
      </c>
      <c r="C16" s="7">
        <v>818</v>
      </c>
      <c r="D16" s="7">
        <v>4338.2848410757897</v>
      </c>
    </row>
    <row r="17" spans="1:4" x14ac:dyDescent="0.2">
      <c r="A17" s="6" t="s">
        <v>14</v>
      </c>
      <c r="B17" s="7">
        <v>1783293</v>
      </c>
      <c r="C17" s="7">
        <v>319</v>
      </c>
      <c r="D17" s="7">
        <v>5590.2601880877801</v>
      </c>
    </row>
    <row r="18" spans="1:4" x14ac:dyDescent="0.2">
      <c r="A18" s="6" t="s">
        <v>22</v>
      </c>
      <c r="B18" s="7">
        <v>1137045</v>
      </c>
      <c r="C18" s="7">
        <v>194</v>
      </c>
      <c r="D18" s="7">
        <v>5861.0567010309296</v>
      </c>
    </row>
    <row r="19" spans="1:4" x14ac:dyDescent="0.2">
      <c r="A19" s="6" t="s">
        <v>24</v>
      </c>
      <c r="B19" s="7">
        <v>350152</v>
      </c>
      <c r="C19" s="7">
        <v>6</v>
      </c>
      <c r="D19" s="7">
        <v>58358.666666666701</v>
      </c>
    </row>
    <row r="20" spans="1:4" x14ac:dyDescent="0.2">
      <c r="A20" s="6" t="s">
        <v>16</v>
      </c>
      <c r="B20" s="7">
        <v>148445</v>
      </c>
      <c r="C20" s="7">
        <v>13</v>
      </c>
      <c r="D20" s="7">
        <v>11418.8461538462</v>
      </c>
    </row>
    <row r="21" spans="1:4" x14ac:dyDescent="0.2">
      <c r="A21" s="6" t="s">
        <v>15</v>
      </c>
      <c r="B21" s="7">
        <v>26887</v>
      </c>
      <c r="C21" s="7">
        <v>3</v>
      </c>
      <c r="D21" s="7">
        <v>8962.3333333333303</v>
      </c>
    </row>
    <row r="22" spans="1:4" x14ac:dyDescent="0.2">
      <c r="A22" s="6" t="s">
        <v>25</v>
      </c>
      <c r="B22" s="7">
        <v>4140</v>
      </c>
      <c r="C22" s="7">
        <v>1</v>
      </c>
      <c r="D22" s="7">
        <v>4140</v>
      </c>
    </row>
    <row r="23" spans="1:4" x14ac:dyDescent="0.2">
      <c r="A23" s="6" t="s">
        <v>31</v>
      </c>
      <c r="B23" s="7">
        <v>97077106</v>
      </c>
      <c r="C23" s="7">
        <v>10683</v>
      </c>
      <c r="D23" s="7">
        <v>12024.774291409629</v>
      </c>
    </row>
    <row r="25" spans="1:4" x14ac:dyDescent="0.2">
      <c r="A25" s="5" t="s">
        <v>30</v>
      </c>
      <c r="B25" t="s">
        <v>33</v>
      </c>
      <c r="C25" t="s">
        <v>35</v>
      </c>
    </row>
    <row r="26" spans="1:4" x14ac:dyDescent="0.2">
      <c r="A26" s="6" t="s">
        <v>37</v>
      </c>
      <c r="B26" s="7">
        <v>2489</v>
      </c>
      <c r="C26" s="7">
        <v>9017.456330867748</v>
      </c>
    </row>
    <row r="27" spans="1:4" x14ac:dyDescent="0.2">
      <c r="A27" s="6" t="s">
        <v>38</v>
      </c>
      <c r="B27" s="7">
        <v>2849</v>
      </c>
      <c r="C27" s="7">
        <v>9504.4200259610679</v>
      </c>
    </row>
    <row r="28" spans="1:4" x14ac:dyDescent="0.2">
      <c r="A28" s="6" t="s">
        <v>39</v>
      </c>
      <c r="B28" s="7">
        <v>4502</v>
      </c>
      <c r="C28" s="7">
        <v>8712.7634116138397</v>
      </c>
    </row>
    <row r="29" spans="1:4" x14ac:dyDescent="0.2">
      <c r="A29" s="6" t="s">
        <v>40</v>
      </c>
      <c r="B29" s="7">
        <v>843</v>
      </c>
      <c r="C29" s="7">
        <v>7979.2754186538668</v>
      </c>
    </row>
    <row r="30" spans="1:4" x14ac:dyDescent="0.2">
      <c r="A30" s="6" t="s">
        <v>31</v>
      </c>
      <c r="B30" s="7">
        <v>10683</v>
      </c>
      <c r="C30" s="7">
        <v>8899.2484673489289</v>
      </c>
    </row>
  </sheetData>
  <sortState xmlns:xlrd2="http://schemas.microsoft.com/office/spreadsheetml/2017/richdata2" columnSort="1" ref="A10:D23">
    <sortCondition descending="1" ref="B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6B365-35C1-4D4E-998D-E35EC420D892}">
  <dimension ref="A1"/>
  <sheetViews>
    <sheetView workbookViewId="0">
      <selection activeCell="I30" sqref="I30"/>
    </sheetView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FAF1-51FB-6D43-9B6B-1235714A8714}">
  <dimension ref="A1:D248"/>
  <sheetViews>
    <sheetView zoomScale="40" zoomScaleNormal="40" workbookViewId="0">
      <selection activeCell="N46" sqref="N46"/>
    </sheetView>
  </sheetViews>
  <sheetFormatPr baseColWidth="10" defaultRowHeight="16" x14ac:dyDescent="0.2"/>
  <sheetData>
    <row r="1" spans="1:4" s="4" customFormat="1" x14ac:dyDescent="0.2"/>
    <row r="2" spans="1:4" x14ac:dyDescent="0.2">
      <c r="A2" s="1"/>
      <c r="B2" s="1"/>
      <c r="C2" s="1"/>
      <c r="D2" s="1"/>
    </row>
    <row r="3" spans="1:4" x14ac:dyDescent="0.2">
      <c r="A3" s="1"/>
      <c r="B3" s="2"/>
      <c r="C3" s="2"/>
      <c r="D3" s="2"/>
    </row>
    <row r="4" spans="1:4" x14ac:dyDescent="0.2">
      <c r="A4" s="1"/>
      <c r="B4" s="2"/>
      <c r="C4" s="2"/>
      <c r="D4" s="2"/>
    </row>
    <row r="5" spans="1:4" x14ac:dyDescent="0.2">
      <c r="A5" s="1"/>
      <c r="B5" s="2"/>
      <c r="C5" s="2"/>
      <c r="D5" s="2"/>
    </row>
    <row r="6" spans="1:4" x14ac:dyDescent="0.2">
      <c r="A6" s="1"/>
      <c r="B6" s="2"/>
      <c r="C6" s="2"/>
      <c r="D6" s="2"/>
    </row>
    <row r="7" spans="1:4" x14ac:dyDescent="0.2">
      <c r="A7" s="1"/>
      <c r="B7" s="2"/>
      <c r="C7" s="2"/>
      <c r="D7" s="2"/>
    </row>
    <row r="8" spans="1:4" x14ac:dyDescent="0.2">
      <c r="A8" s="1"/>
      <c r="B8" s="2"/>
      <c r="C8" s="2"/>
      <c r="D8" s="2"/>
    </row>
    <row r="10" spans="1:4" x14ac:dyDescent="0.2">
      <c r="A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2"/>
      <c r="C12" s="2"/>
      <c r="D12" s="2"/>
    </row>
    <row r="13" spans="1:4" x14ac:dyDescent="0.2">
      <c r="A13" s="1"/>
      <c r="B13" s="2"/>
      <c r="C13" s="2"/>
      <c r="D13" s="2"/>
    </row>
    <row r="14" spans="1:4" x14ac:dyDescent="0.2">
      <c r="A14" s="1"/>
      <c r="B14" s="2"/>
      <c r="C14" s="2"/>
      <c r="D14" s="2"/>
    </row>
    <row r="15" spans="1:4" x14ac:dyDescent="0.2">
      <c r="A15" s="1"/>
      <c r="B15" s="2"/>
      <c r="C15" s="2"/>
      <c r="D15" s="2"/>
    </row>
    <row r="16" spans="1:4" x14ac:dyDescent="0.2">
      <c r="A16" s="1"/>
      <c r="B16" s="2"/>
      <c r="C16" s="2"/>
      <c r="D16" s="2"/>
    </row>
    <row r="17" spans="1:4" x14ac:dyDescent="0.2">
      <c r="A17" s="1"/>
      <c r="B17" s="2"/>
      <c r="C17" s="2"/>
      <c r="D17" s="2"/>
    </row>
    <row r="18" spans="1:4" x14ac:dyDescent="0.2">
      <c r="A18" s="1"/>
      <c r="B18" s="2"/>
      <c r="C18" s="2"/>
      <c r="D18" s="2"/>
    </row>
    <row r="19" spans="1:4" x14ac:dyDescent="0.2">
      <c r="A19" s="1"/>
      <c r="B19" s="2"/>
      <c r="C19" s="2"/>
      <c r="D19" s="2"/>
    </row>
    <row r="20" spans="1:4" x14ac:dyDescent="0.2">
      <c r="A20" s="1"/>
      <c r="B20" s="2"/>
      <c r="C20" s="2"/>
      <c r="D20" s="2"/>
    </row>
    <row r="21" spans="1:4" x14ac:dyDescent="0.2">
      <c r="A21" s="1"/>
      <c r="B21" s="2"/>
      <c r="C21" s="2"/>
      <c r="D21" s="2"/>
    </row>
    <row r="22" spans="1:4" x14ac:dyDescent="0.2">
      <c r="A22" s="1"/>
      <c r="B22" s="2"/>
      <c r="C22" s="2"/>
      <c r="D22" s="2"/>
    </row>
    <row r="23" spans="1:4" x14ac:dyDescent="0.2">
      <c r="A23" s="1"/>
      <c r="B23" s="2"/>
      <c r="C23" s="2"/>
      <c r="D23" s="2"/>
    </row>
    <row r="25" spans="1:4" x14ac:dyDescent="0.2">
      <c r="A25" s="1"/>
    </row>
    <row r="26" spans="1:4" x14ac:dyDescent="0.2">
      <c r="A26" s="1"/>
      <c r="B26" s="1"/>
      <c r="C26" s="1"/>
    </row>
    <row r="27" spans="1:4" x14ac:dyDescent="0.2">
      <c r="A27" s="3"/>
      <c r="B27" s="2"/>
      <c r="C27" s="2"/>
    </row>
    <row r="28" spans="1:4" x14ac:dyDescent="0.2">
      <c r="A28" s="3"/>
      <c r="B28" s="2"/>
      <c r="C28" s="2"/>
    </row>
    <row r="29" spans="1:4" x14ac:dyDescent="0.2">
      <c r="A29" s="3"/>
      <c r="B29" s="2"/>
      <c r="C29" s="2"/>
    </row>
    <row r="30" spans="1:4" x14ac:dyDescent="0.2">
      <c r="A30" s="3"/>
      <c r="B30" s="2"/>
      <c r="C30" s="2"/>
    </row>
    <row r="31" spans="1:4" x14ac:dyDescent="0.2">
      <c r="A31" s="3"/>
      <c r="B31" s="2"/>
      <c r="C31" s="2"/>
    </row>
    <row r="32" spans="1:4" x14ac:dyDescent="0.2">
      <c r="A32" s="3"/>
      <c r="B32" s="2"/>
      <c r="C32" s="2"/>
    </row>
    <row r="33" spans="1:3" x14ac:dyDescent="0.2">
      <c r="A33" s="3"/>
      <c r="B33" s="2"/>
      <c r="C33" s="2"/>
    </row>
    <row r="34" spans="1:3" x14ac:dyDescent="0.2">
      <c r="A34" s="3"/>
      <c r="B34" s="2"/>
      <c r="C34" s="2"/>
    </row>
    <row r="35" spans="1:3" x14ac:dyDescent="0.2">
      <c r="A35" s="3"/>
      <c r="B35" s="2"/>
      <c r="C35" s="2"/>
    </row>
    <row r="36" spans="1:3" x14ac:dyDescent="0.2">
      <c r="A36" s="3"/>
      <c r="B36" s="2"/>
      <c r="C36" s="2"/>
    </row>
    <row r="37" spans="1:3" x14ac:dyDescent="0.2">
      <c r="A37" s="3"/>
      <c r="B37" s="2"/>
      <c r="C37" s="2"/>
    </row>
    <row r="38" spans="1:3" x14ac:dyDescent="0.2">
      <c r="A38" s="3"/>
      <c r="B38" s="2"/>
      <c r="C38" s="2"/>
    </row>
    <row r="39" spans="1:3" x14ac:dyDescent="0.2">
      <c r="A39" s="3"/>
      <c r="B39" s="2"/>
      <c r="C39" s="2"/>
    </row>
    <row r="40" spans="1:3" x14ac:dyDescent="0.2">
      <c r="A40" s="3"/>
      <c r="B40" s="2"/>
      <c r="C40" s="2"/>
    </row>
    <row r="41" spans="1:3" x14ac:dyDescent="0.2">
      <c r="A41" s="3"/>
      <c r="B41" s="2"/>
      <c r="C41" s="2"/>
    </row>
    <row r="42" spans="1:3" x14ac:dyDescent="0.2">
      <c r="A42" s="3"/>
      <c r="B42" s="2"/>
      <c r="C42" s="2"/>
    </row>
    <row r="43" spans="1:3" x14ac:dyDescent="0.2">
      <c r="A43" s="3"/>
      <c r="B43" s="2"/>
      <c r="C43" s="2"/>
    </row>
    <row r="44" spans="1:3" x14ac:dyDescent="0.2">
      <c r="A44" s="3"/>
      <c r="B44" s="2"/>
      <c r="C44" s="2"/>
    </row>
    <row r="45" spans="1:3" x14ac:dyDescent="0.2">
      <c r="A45" s="3"/>
      <c r="B45" s="2"/>
      <c r="C45" s="2"/>
    </row>
    <row r="46" spans="1:3" x14ac:dyDescent="0.2">
      <c r="A46" s="3"/>
      <c r="B46" s="2"/>
      <c r="C46" s="2"/>
    </row>
    <row r="47" spans="1:3" x14ac:dyDescent="0.2">
      <c r="A47" s="3"/>
      <c r="B47" s="2"/>
      <c r="C47" s="2"/>
    </row>
    <row r="48" spans="1:3" x14ac:dyDescent="0.2">
      <c r="A48" s="3"/>
      <c r="B48" s="2"/>
      <c r="C48" s="2"/>
    </row>
    <row r="49" spans="1:3" x14ac:dyDescent="0.2">
      <c r="A49" s="3"/>
      <c r="B49" s="2"/>
      <c r="C49" s="2"/>
    </row>
    <row r="50" spans="1:3" x14ac:dyDescent="0.2">
      <c r="A50" s="3"/>
      <c r="B50" s="2"/>
      <c r="C50" s="2"/>
    </row>
    <row r="51" spans="1:3" x14ac:dyDescent="0.2">
      <c r="A51" s="3"/>
      <c r="B51" s="2"/>
      <c r="C51" s="2"/>
    </row>
    <row r="52" spans="1:3" x14ac:dyDescent="0.2">
      <c r="A52" s="3"/>
      <c r="B52" s="2"/>
      <c r="C52" s="2"/>
    </row>
    <row r="53" spans="1:3" x14ac:dyDescent="0.2">
      <c r="A53" s="3"/>
      <c r="B53" s="2"/>
      <c r="C53" s="2"/>
    </row>
    <row r="54" spans="1:3" x14ac:dyDescent="0.2">
      <c r="A54" s="3"/>
      <c r="B54" s="2"/>
      <c r="C54" s="2"/>
    </row>
    <row r="55" spans="1:3" x14ac:dyDescent="0.2">
      <c r="A55" s="3"/>
      <c r="B55" s="2"/>
      <c r="C55" s="2"/>
    </row>
    <row r="56" spans="1:3" x14ac:dyDescent="0.2">
      <c r="A56" s="3"/>
      <c r="B56" s="2"/>
      <c r="C56" s="2"/>
    </row>
    <row r="57" spans="1:3" x14ac:dyDescent="0.2">
      <c r="A57" s="3"/>
      <c r="B57" s="2"/>
      <c r="C57" s="2"/>
    </row>
    <row r="58" spans="1:3" x14ac:dyDescent="0.2">
      <c r="A58" s="3"/>
      <c r="B58" s="2"/>
      <c r="C58" s="2"/>
    </row>
    <row r="59" spans="1:3" x14ac:dyDescent="0.2">
      <c r="A59" s="3"/>
      <c r="B59" s="2"/>
      <c r="C59" s="2"/>
    </row>
    <row r="60" spans="1:3" x14ac:dyDescent="0.2">
      <c r="A60" s="3"/>
      <c r="B60" s="2"/>
      <c r="C60" s="2"/>
    </row>
    <row r="61" spans="1:3" x14ac:dyDescent="0.2">
      <c r="A61" s="3"/>
      <c r="B61" s="2"/>
      <c r="C61" s="2"/>
    </row>
    <row r="62" spans="1:3" x14ac:dyDescent="0.2">
      <c r="A62" s="3"/>
      <c r="B62" s="2"/>
      <c r="C62" s="2"/>
    </row>
    <row r="63" spans="1:3" x14ac:dyDescent="0.2">
      <c r="A63" s="3"/>
      <c r="B63" s="2"/>
      <c r="C63" s="2"/>
    </row>
    <row r="64" spans="1:3" x14ac:dyDescent="0.2">
      <c r="A64" s="3"/>
      <c r="B64" s="2"/>
      <c r="C64" s="2"/>
    </row>
    <row r="65" spans="1:3" x14ac:dyDescent="0.2">
      <c r="A65" s="3"/>
      <c r="B65" s="2"/>
      <c r="C65" s="2"/>
    </row>
    <row r="66" spans="1:3" x14ac:dyDescent="0.2">
      <c r="A66" s="3"/>
      <c r="B66" s="2"/>
      <c r="C66" s="2"/>
    </row>
    <row r="67" spans="1:3" x14ac:dyDescent="0.2">
      <c r="A67" s="3"/>
      <c r="B67" s="2"/>
      <c r="C67" s="2"/>
    </row>
    <row r="68" spans="1:3" x14ac:dyDescent="0.2">
      <c r="A68" s="3"/>
      <c r="B68" s="2"/>
      <c r="C68" s="2"/>
    </row>
    <row r="69" spans="1:3" x14ac:dyDescent="0.2">
      <c r="A69" s="3"/>
      <c r="B69" s="2"/>
      <c r="C69" s="2"/>
    </row>
    <row r="70" spans="1:3" x14ac:dyDescent="0.2">
      <c r="A70" s="3"/>
      <c r="B70" s="2"/>
      <c r="C70" s="2"/>
    </row>
    <row r="71" spans="1:3" x14ac:dyDescent="0.2">
      <c r="A71" s="3"/>
      <c r="B71" s="2"/>
      <c r="C71" s="2"/>
    </row>
    <row r="72" spans="1:3" x14ac:dyDescent="0.2">
      <c r="A72" s="3"/>
      <c r="B72" s="2"/>
      <c r="C72" s="2"/>
    </row>
    <row r="73" spans="1:3" x14ac:dyDescent="0.2">
      <c r="A73" s="3"/>
      <c r="B73" s="2"/>
      <c r="C73" s="2"/>
    </row>
    <row r="74" spans="1:3" x14ac:dyDescent="0.2">
      <c r="A74" s="3"/>
      <c r="B74" s="2"/>
      <c r="C74" s="2"/>
    </row>
    <row r="75" spans="1:3" x14ac:dyDescent="0.2">
      <c r="A75" s="3"/>
      <c r="B75" s="2"/>
      <c r="C75" s="2"/>
    </row>
    <row r="76" spans="1:3" x14ac:dyDescent="0.2">
      <c r="A76" s="3"/>
      <c r="B76" s="2"/>
      <c r="C76" s="2"/>
    </row>
    <row r="77" spans="1:3" x14ac:dyDescent="0.2">
      <c r="A77" s="3"/>
      <c r="B77" s="2"/>
      <c r="C77" s="2"/>
    </row>
    <row r="78" spans="1:3" x14ac:dyDescent="0.2">
      <c r="A78" s="3"/>
      <c r="B78" s="2"/>
      <c r="C78" s="2"/>
    </row>
    <row r="79" spans="1:3" x14ac:dyDescent="0.2">
      <c r="A79" s="3"/>
      <c r="B79" s="2"/>
      <c r="C79" s="2"/>
    </row>
    <row r="80" spans="1:3" x14ac:dyDescent="0.2">
      <c r="A80" s="3"/>
      <c r="B80" s="2"/>
      <c r="C80" s="2"/>
    </row>
    <row r="81" spans="1:3" x14ac:dyDescent="0.2">
      <c r="A81" s="3"/>
      <c r="B81" s="2"/>
      <c r="C81" s="2"/>
    </row>
    <row r="82" spans="1:3" x14ac:dyDescent="0.2">
      <c r="A82" s="3"/>
      <c r="B82" s="2"/>
      <c r="C82" s="2"/>
    </row>
    <row r="83" spans="1:3" x14ac:dyDescent="0.2">
      <c r="A83" s="3"/>
      <c r="B83" s="2"/>
      <c r="C83" s="2"/>
    </row>
    <row r="84" spans="1:3" x14ac:dyDescent="0.2">
      <c r="A84" s="3"/>
      <c r="B84" s="2"/>
      <c r="C84" s="2"/>
    </row>
    <row r="85" spans="1:3" x14ac:dyDescent="0.2">
      <c r="A85" s="3"/>
      <c r="B85" s="2"/>
      <c r="C85" s="2"/>
    </row>
    <row r="86" spans="1:3" x14ac:dyDescent="0.2">
      <c r="A86" s="3"/>
      <c r="B86" s="2"/>
      <c r="C86" s="2"/>
    </row>
    <row r="87" spans="1:3" x14ac:dyDescent="0.2">
      <c r="A87" s="3"/>
      <c r="B87" s="2"/>
      <c r="C87" s="2"/>
    </row>
    <row r="88" spans="1:3" x14ac:dyDescent="0.2">
      <c r="A88" s="3"/>
      <c r="B88" s="2"/>
      <c r="C88" s="2"/>
    </row>
    <row r="89" spans="1:3" x14ac:dyDescent="0.2">
      <c r="A89" s="3"/>
      <c r="B89" s="2"/>
      <c r="C89" s="2"/>
    </row>
    <row r="90" spans="1:3" x14ac:dyDescent="0.2">
      <c r="A90" s="3"/>
      <c r="B90" s="2"/>
      <c r="C90" s="2"/>
    </row>
    <row r="91" spans="1:3" x14ac:dyDescent="0.2">
      <c r="A91" s="3"/>
      <c r="B91" s="2"/>
      <c r="C91" s="2"/>
    </row>
    <row r="92" spans="1:3" x14ac:dyDescent="0.2">
      <c r="A92" s="3"/>
      <c r="B92" s="2"/>
      <c r="C92" s="2"/>
    </row>
    <row r="93" spans="1:3" x14ac:dyDescent="0.2">
      <c r="A93" s="3"/>
      <c r="B93" s="2"/>
      <c r="C93" s="2"/>
    </row>
    <row r="94" spans="1:3" x14ac:dyDescent="0.2">
      <c r="A94" s="3"/>
      <c r="B94" s="2"/>
      <c r="C94" s="2"/>
    </row>
    <row r="95" spans="1:3" x14ac:dyDescent="0.2">
      <c r="A95" s="3"/>
      <c r="B95" s="2"/>
      <c r="C95" s="2"/>
    </row>
    <row r="96" spans="1:3" x14ac:dyDescent="0.2">
      <c r="A96" s="3"/>
      <c r="B96" s="2"/>
      <c r="C96" s="2"/>
    </row>
    <row r="97" spans="1:3" x14ac:dyDescent="0.2">
      <c r="A97" s="3"/>
      <c r="B97" s="2"/>
      <c r="C97" s="2"/>
    </row>
    <row r="98" spans="1:3" x14ac:dyDescent="0.2">
      <c r="A98" s="3"/>
      <c r="B98" s="2"/>
      <c r="C98" s="2"/>
    </row>
    <row r="99" spans="1:3" x14ac:dyDescent="0.2">
      <c r="A99" s="3"/>
      <c r="B99" s="2"/>
      <c r="C99" s="2"/>
    </row>
    <row r="100" spans="1:3" x14ac:dyDescent="0.2">
      <c r="A100" s="3"/>
      <c r="B100" s="2"/>
      <c r="C100" s="2"/>
    </row>
    <row r="101" spans="1:3" x14ac:dyDescent="0.2">
      <c r="A101" s="3"/>
      <c r="B101" s="2"/>
      <c r="C101" s="2"/>
    </row>
    <row r="102" spans="1:3" x14ac:dyDescent="0.2">
      <c r="A102" s="3"/>
      <c r="B102" s="2"/>
      <c r="C102" s="2"/>
    </row>
    <row r="103" spans="1:3" x14ac:dyDescent="0.2">
      <c r="A103" s="3"/>
      <c r="B103" s="2"/>
      <c r="C103" s="2"/>
    </row>
    <row r="104" spans="1:3" x14ac:dyDescent="0.2">
      <c r="A104" s="3"/>
      <c r="B104" s="2"/>
      <c r="C104" s="2"/>
    </row>
    <row r="105" spans="1:3" x14ac:dyDescent="0.2">
      <c r="A105" s="3"/>
      <c r="B105" s="2"/>
      <c r="C105" s="2"/>
    </row>
    <row r="106" spans="1:3" x14ac:dyDescent="0.2">
      <c r="A106" s="3"/>
      <c r="B106" s="2"/>
      <c r="C106" s="2"/>
    </row>
    <row r="107" spans="1:3" x14ac:dyDescent="0.2">
      <c r="A107" s="3"/>
      <c r="B107" s="2"/>
      <c r="C107" s="2"/>
    </row>
    <row r="108" spans="1:3" x14ac:dyDescent="0.2">
      <c r="A108" s="3"/>
      <c r="B108" s="2"/>
      <c r="C108" s="2"/>
    </row>
    <row r="109" spans="1:3" x14ac:dyDescent="0.2">
      <c r="A109" s="3"/>
      <c r="B109" s="2"/>
      <c r="C109" s="2"/>
    </row>
    <row r="110" spans="1:3" x14ac:dyDescent="0.2">
      <c r="A110" s="3"/>
      <c r="B110" s="2"/>
      <c r="C110" s="2"/>
    </row>
    <row r="111" spans="1:3" x14ac:dyDescent="0.2">
      <c r="A111" s="3"/>
      <c r="B111" s="2"/>
      <c r="C111" s="2"/>
    </row>
    <row r="112" spans="1:3" x14ac:dyDescent="0.2">
      <c r="A112" s="3"/>
      <c r="B112" s="2"/>
      <c r="C112" s="2"/>
    </row>
    <row r="113" spans="1:3" x14ac:dyDescent="0.2">
      <c r="A113" s="3"/>
      <c r="B113" s="2"/>
      <c r="C113" s="2"/>
    </row>
    <row r="114" spans="1:3" x14ac:dyDescent="0.2">
      <c r="A114" s="3"/>
      <c r="B114" s="2"/>
      <c r="C114" s="2"/>
    </row>
    <row r="115" spans="1:3" x14ac:dyDescent="0.2">
      <c r="A115" s="3"/>
      <c r="B115" s="2"/>
      <c r="C115" s="2"/>
    </row>
    <row r="116" spans="1:3" x14ac:dyDescent="0.2">
      <c r="A116" s="3"/>
      <c r="B116" s="2"/>
      <c r="C116" s="2"/>
    </row>
    <row r="117" spans="1:3" x14ac:dyDescent="0.2">
      <c r="A117" s="3"/>
      <c r="B117" s="2"/>
      <c r="C117" s="2"/>
    </row>
    <row r="118" spans="1:3" x14ac:dyDescent="0.2">
      <c r="A118" s="3"/>
      <c r="B118" s="2"/>
      <c r="C118" s="2"/>
    </row>
    <row r="119" spans="1:3" x14ac:dyDescent="0.2">
      <c r="A119" s="3"/>
      <c r="B119" s="2"/>
      <c r="C119" s="2"/>
    </row>
    <row r="120" spans="1:3" x14ac:dyDescent="0.2">
      <c r="A120" s="3"/>
      <c r="B120" s="2"/>
      <c r="C120" s="2"/>
    </row>
    <row r="121" spans="1:3" x14ac:dyDescent="0.2">
      <c r="A121" s="3"/>
      <c r="B121" s="2"/>
      <c r="C121" s="2"/>
    </row>
    <row r="122" spans="1:3" x14ac:dyDescent="0.2">
      <c r="A122" s="3"/>
      <c r="B122" s="2"/>
      <c r="C122" s="2"/>
    </row>
    <row r="123" spans="1:3" x14ac:dyDescent="0.2">
      <c r="A123" s="3"/>
      <c r="B123" s="2"/>
      <c r="C123" s="2"/>
    </row>
    <row r="124" spans="1:3" x14ac:dyDescent="0.2">
      <c r="A124" s="3"/>
      <c r="B124" s="2"/>
      <c r="C124" s="2"/>
    </row>
    <row r="125" spans="1:3" x14ac:dyDescent="0.2">
      <c r="A125" s="3"/>
      <c r="B125" s="2"/>
      <c r="C125" s="2"/>
    </row>
    <row r="126" spans="1:3" x14ac:dyDescent="0.2">
      <c r="A126" s="3"/>
      <c r="B126" s="2"/>
      <c r="C126" s="2"/>
    </row>
    <row r="127" spans="1:3" x14ac:dyDescent="0.2">
      <c r="A127" s="3"/>
      <c r="B127" s="2"/>
      <c r="C127" s="2"/>
    </row>
    <row r="128" spans="1:3" x14ac:dyDescent="0.2">
      <c r="A128" s="3"/>
      <c r="B128" s="2"/>
      <c r="C128" s="2"/>
    </row>
    <row r="129" spans="1:3" x14ac:dyDescent="0.2">
      <c r="A129" s="3"/>
      <c r="B129" s="2"/>
      <c r="C129" s="2"/>
    </row>
    <row r="130" spans="1:3" x14ac:dyDescent="0.2">
      <c r="A130" s="3"/>
      <c r="B130" s="2"/>
      <c r="C130" s="2"/>
    </row>
    <row r="131" spans="1:3" x14ac:dyDescent="0.2">
      <c r="A131" s="3"/>
      <c r="B131" s="2"/>
      <c r="C131" s="2"/>
    </row>
    <row r="132" spans="1:3" x14ac:dyDescent="0.2">
      <c r="A132" s="3"/>
      <c r="B132" s="2"/>
      <c r="C132" s="2"/>
    </row>
    <row r="133" spans="1:3" x14ac:dyDescent="0.2">
      <c r="A133" s="3"/>
      <c r="B133" s="2"/>
      <c r="C133" s="2"/>
    </row>
    <row r="134" spans="1:3" x14ac:dyDescent="0.2">
      <c r="A134" s="3"/>
      <c r="B134" s="2"/>
      <c r="C134" s="2"/>
    </row>
    <row r="135" spans="1:3" x14ac:dyDescent="0.2">
      <c r="A135" s="3"/>
      <c r="B135" s="2"/>
      <c r="C135" s="2"/>
    </row>
    <row r="136" spans="1:3" x14ac:dyDescent="0.2">
      <c r="A136" s="3"/>
      <c r="B136" s="2"/>
      <c r="C136" s="2"/>
    </row>
    <row r="137" spans="1:3" x14ac:dyDescent="0.2">
      <c r="A137" s="3"/>
      <c r="B137" s="2"/>
      <c r="C137" s="2"/>
    </row>
    <row r="138" spans="1:3" x14ac:dyDescent="0.2">
      <c r="A138" s="3"/>
      <c r="B138" s="2"/>
      <c r="C138" s="2"/>
    </row>
    <row r="139" spans="1:3" x14ac:dyDescent="0.2">
      <c r="A139" s="3"/>
      <c r="B139" s="2"/>
      <c r="C139" s="2"/>
    </row>
    <row r="140" spans="1:3" x14ac:dyDescent="0.2">
      <c r="A140" s="3"/>
      <c r="B140" s="2"/>
      <c r="C140" s="2"/>
    </row>
    <row r="141" spans="1:3" x14ac:dyDescent="0.2">
      <c r="A141" s="3"/>
      <c r="B141" s="2"/>
      <c r="C141" s="2"/>
    </row>
    <row r="142" spans="1:3" x14ac:dyDescent="0.2">
      <c r="A142" s="3"/>
      <c r="B142" s="2"/>
      <c r="C142" s="2"/>
    </row>
    <row r="143" spans="1:3" x14ac:dyDescent="0.2">
      <c r="A143" s="3"/>
      <c r="B143" s="2"/>
      <c r="C143" s="2"/>
    </row>
    <row r="144" spans="1:3" x14ac:dyDescent="0.2">
      <c r="A144" s="3"/>
      <c r="B144" s="2"/>
      <c r="C144" s="2"/>
    </row>
    <row r="145" spans="1:3" x14ac:dyDescent="0.2">
      <c r="A145" s="3"/>
      <c r="B145" s="2"/>
      <c r="C145" s="2"/>
    </row>
    <row r="146" spans="1:3" x14ac:dyDescent="0.2">
      <c r="A146" s="3"/>
      <c r="B146" s="2"/>
      <c r="C146" s="2"/>
    </row>
    <row r="147" spans="1:3" x14ac:dyDescent="0.2">
      <c r="A147" s="3"/>
      <c r="B147" s="2"/>
      <c r="C147" s="2"/>
    </row>
    <row r="148" spans="1:3" x14ac:dyDescent="0.2">
      <c r="A148" s="3"/>
      <c r="B148" s="2"/>
      <c r="C148" s="2"/>
    </row>
    <row r="149" spans="1:3" x14ac:dyDescent="0.2">
      <c r="A149" s="3"/>
      <c r="B149" s="2"/>
      <c r="C149" s="2"/>
    </row>
    <row r="150" spans="1:3" x14ac:dyDescent="0.2">
      <c r="A150" s="3"/>
      <c r="B150" s="2"/>
      <c r="C150" s="2"/>
    </row>
    <row r="151" spans="1:3" x14ac:dyDescent="0.2">
      <c r="A151" s="3"/>
      <c r="B151" s="2"/>
      <c r="C151" s="2"/>
    </row>
    <row r="152" spans="1:3" x14ac:dyDescent="0.2">
      <c r="A152" s="3"/>
      <c r="B152" s="2"/>
      <c r="C152" s="2"/>
    </row>
    <row r="153" spans="1:3" x14ac:dyDescent="0.2">
      <c r="A153" s="3"/>
      <c r="B153" s="2"/>
      <c r="C153" s="2"/>
    </row>
    <row r="154" spans="1:3" x14ac:dyDescent="0.2">
      <c r="A154" s="3"/>
      <c r="B154" s="2"/>
      <c r="C154" s="2"/>
    </row>
    <row r="155" spans="1:3" x14ac:dyDescent="0.2">
      <c r="A155" s="3"/>
      <c r="B155" s="2"/>
      <c r="C155" s="2"/>
    </row>
    <row r="156" spans="1:3" x14ac:dyDescent="0.2">
      <c r="A156" s="3"/>
      <c r="B156" s="2"/>
      <c r="C156" s="2"/>
    </row>
    <row r="157" spans="1:3" x14ac:dyDescent="0.2">
      <c r="A157" s="3"/>
      <c r="B157" s="2"/>
      <c r="C157" s="2"/>
    </row>
    <row r="158" spans="1:3" x14ac:dyDescent="0.2">
      <c r="A158" s="3"/>
      <c r="B158" s="2"/>
      <c r="C158" s="2"/>
    </row>
    <row r="159" spans="1:3" x14ac:dyDescent="0.2">
      <c r="A159" s="3"/>
      <c r="B159" s="2"/>
      <c r="C159" s="2"/>
    </row>
    <row r="160" spans="1:3" x14ac:dyDescent="0.2">
      <c r="A160" s="3"/>
      <c r="B160" s="2"/>
      <c r="C160" s="2"/>
    </row>
    <row r="161" spans="1:3" x14ac:dyDescent="0.2">
      <c r="A161" s="3"/>
      <c r="B161" s="2"/>
      <c r="C161" s="2"/>
    </row>
    <row r="162" spans="1:3" x14ac:dyDescent="0.2">
      <c r="A162" s="3"/>
      <c r="B162" s="2"/>
      <c r="C162" s="2"/>
    </row>
    <row r="163" spans="1:3" x14ac:dyDescent="0.2">
      <c r="A163" s="3"/>
      <c r="B163" s="2"/>
      <c r="C163" s="2"/>
    </row>
    <row r="164" spans="1:3" x14ac:dyDescent="0.2">
      <c r="A164" s="3"/>
      <c r="B164" s="2"/>
      <c r="C164" s="2"/>
    </row>
    <row r="165" spans="1:3" x14ac:dyDescent="0.2">
      <c r="A165" s="3"/>
      <c r="B165" s="2"/>
      <c r="C165" s="2"/>
    </row>
    <row r="166" spans="1:3" x14ac:dyDescent="0.2">
      <c r="A166" s="3"/>
      <c r="B166" s="2"/>
      <c r="C166" s="2"/>
    </row>
    <row r="167" spans="1:3" x14ac:dyDescent="0.2">
      <c r="A167" s="3"/>
      <c r="B167" s="2"/>
      <c r="C167" s="2"/>
    </row>
    <row r="168" spans="1:3" x14ac:dyDescent="0.2">
      <c r="A168" s="3"/>
      <c r="B168" s="2"/>
      <c r="C168" s="2"/>
    </row>
    <row r="169" spans="1:3" x14ac:dyDescent="0.2">
      <c r="A169" s="3"/>
      <c r="B169" s="2"/>
      <c r="C169" s="2"/>
    </row>
    <row r="170" spans="1:3" x14ac:dyDescent="0.2">
      <c r="A170" s="3"/>
      <c r="B170" s="2"/>
      <c r="C170" s="2"/>
    </row>
    <row r="171" spans="1:3" x14ac:dyDescent="0.2">
      <c r="A171" s="3"/>
      <c r="B171" s="2"/>
      <c r="C171" s="2"/>
    </row>
    <row r="172" spans="1:3" x14ac:dyDescent="0.2">
      <c r="A172" s="3"/>
      <c r="B172" s="2"/>
      <c r="C172" s="2"/>
    </row>
    <row r="173" spans="1:3" x14ac:dyDescent="0.2">
      <c r="A173" s="3"/>
      <c r="B173" s="2"/>
      <c r="C173" s="2"/>
    </row>
    <row r="174" spans="1:3" x14ac:dyDescent="0.2">
      <c r="A174" s="3"/>
      <c r="B174" s="2"/>
      <c r="C174" s="2"/>
    </row>
    <row r="175" spans="1:3" x14ac:dyDescent="0.2">
      <c r="A175" s="3"/>
      <c r="B175" s="2"/>
      <c r="C175" s="2"/>
    </row>
    <row r="176" spans="1:3" x14ac:dyDescent="0.2">
      <c r="A176" s="3"/>
      <c r="B176" s="2"/>
      <c r="C176" s="2"/>
    </row>
    <row r="177" spans="1:3" x14ac:dyDescent="0.2">
      <c r="A177" s="3"/>
      <c r="B177" s="2"/>
      <c r="C177" s="2"/>
    </row>
    <row r="178" spans="1:3" x14ac:dyDescent="0.2">
      <c r="A178" s="3"/>
      <c r="B178" s="2"/>
      <c r="C178" s="2"/>
    </row>
    <row r="179" spans="1:3" x14ac:dyDescent="0.2">
      <c r="A179" s="3"/>
      <c r="B179" s="2"/>
      <c r="C179" s="2"/>
    </row>
    <row r="180" spans="1:3" x14ac:dyDescent="0.2">
      <c r="A180" s="3"/>
      <c r="B180" s="2"/>
      <c r="C180" s="2"/>
    </row>
    <row r="181" spans="1:3" x14ac:dyDescent="0.2">
      <c r="A181" s="3"/>
      <c r="B181" s="2"/>
      <c r="C181" s="2"/>
    </row>
    <row r="182" spans="1:3" x14ac:dyDescent="0.2">
      <c r="A182" s="3"/>
      <c r="B182" s="2"/>
      <c r="C182" s="2"/>
    </row>
    <row r="183" spans="1:3" x14ac:dyDescent="0.2">
      <c r="A183" s="3"/>
      <c r="B183" s="2"/>
      <c r="C183" s="2"/>
    </row>
    <row r="184" spans="1:3" x14ac:dyDescent="0.2">
      <c r="A184" s="3"/>
      <c r="B184" s="2"/>
      <c r="C184" s="2"/>
    </row>
    <row r="185" spans="1:3" x14ac:dyDescent="0.2">
      <c r="A185" s="3"/>
      <c r="B185" s="2"/>
      <c r="C185" s="2"/>
    </row>
    <row r="186" spans="1:3" x14ac:dyDescent="0.2">
      <c r="A186" s="3"/>
      <c r="B186" s="2"/>
      <c r="C186" s="2"/>
    </row>
    <row r="187" spans="1:3" x14ac:dyDescent="0.2">
      <c r="A187" s="3"/>
      <c r="B187" s="2"/>
      <c r="C187" s="2"/>
    </row>
    <row r="188" spans="1:3" x14ac:dyDescent="0.2">
      <c r="A188" s="3"/>
      <c r="B188" s="2"/>
      <c r="C188" s="2"/>
    </row>
    <row r="189" spans="1:3" x14ac:dyDescent="0.2">
      <c r="A189" s="3"/>
      <c r="B189" s="2"/>
      <c r="C189" s="2"/>
    </row>
    <row r="190" spans="1:3" x14ac:dyDescent="0.2">
      <c r="A190" s="3"/>
      <c r="B190" s="2"/>
      <c r="C190" s="2"/>
    </row>
    <row r="191" spans="1:3" x14ac:dyDescent="0.2">
      <c r="A191" s="3"/>
      <c r="B191" s="2"/>
      <c r="C191" s="2"/>
    </row>
    <row r="192" spans="1:3" x14ac:dyDescent="0.2">
      <c r="A192" s="3"/>
      <c r="B192" s="2"/>
      <c r="C192" s="2"/>
    </row>
    <row r="193" spans="1:3" x14ac:dyDescent="0.2">
      <c r="A193" s="3"/>
      <c r="B193" s="2"/>
      <c r="C193" s="2"/>
    </row>
    <row r="194" spans="1:3" x14ac:dyDescent="0.2">
      <c r="A194" s="3"/>
      <c r="B194" s="2"/>
      <c r="C194" s="2"/>
    </row>
    <row r="195" spans="1:3" x14ac:dyDescent="0.2">
      <c r="A195" s="3"/>
      <c r="B195" s="2"/>
      <c r="C195" s="2"/>
    </row>
    <row r="196" spans="1:3" x14ac:dyDescent="0.2">
      <c r="A196" s="3"/>
      <c r="B196" s="2"/>
      <c r="C196" s="2"/>
    </row>
    <row r="197" spans="1:3" x14ac:dyDescent="0.2">
      <c r="A197" s="3"/>
      <c r="B197" s="2"/>
      <c r="C197" s="2"/>
    </row>
    <row r="198" spans="1:3" x14ac:dyDescent="0.2">
      <c r="A198" s="3"/>
      <c r="B198" s="2"/>
      <c r="C198" s="2"/>
    </row>
    <row r="199" spans="1:3" x14ac:dyDescent="0.2">
      <c r="A199" s="3"/>
      <c r="B199" s="2"/>
      <c r="C199" s="2"/>
    </row>
    <row r="200" spans="1:3" x14ac:dyDescent="0.2">
      <c r="A200" s="3"/>
      <c r="B200" s="2"/>
      <c r="C200" s="2"/>
    </row>
    <row r="201" spans="1:3" x14ac:dyDescent="0.2">
      <c r="A201" s="3"/>
      <c r="B201" s="2"/>
      <c r="C201" s="2"/>
    </row>
    <row r="202" spans="1:3" x14ac:dyDescent="0.2">
      <c r="A202" s="3"/>
      <c r="B202" s="2"/>
      <c r="C202" s="2"/>
    </row>
    <row r="203" spans="1:3" x14ac:dyDescent="0.2">
      <c r="A203" s="3"/>
      <c r="B203" s="2"/>
      <c r="C203" s="2"/>
    </row>
    <row r="204" spans="1:3" x14ac:dyDescent="0.2">
      <c r="A204" s="3"/>
      <c r="B204" s="2"/>
      <c r="C204" s="2"/>
    </row>
    <row r="205" spans="1:3" x14ac:dyDescent="0.2">
      <c r="A205" s="3"/>
      <c r="B205" s="2"/>
      <c r="C205" s="2"/>
    </row>
    <row r="206" spans="1:3" x14ac:dyDescent="0.2">
      <c r="A206" s="3"/>
      <c r="B206" s="2"/>
      <c r="C206" s="2"/>
    </row>
    <row r="207" spans="1:3" x14ac:dyDescent="0.2">
      <c r="A207" s="3"/>
      <c r="B207" s="2"/>
      <c r="C207" s="2"/>
    </row>
    <row r="208" spans="1:3" x14ac:dyDescent="0.2">
      <c r="A208" s="3"/>
      <c r="B208" s="2"/>
      <c r="C208" s="2"/>
    </row>
    <row r="209" spans="1:3" x14ac:dyDescent="0.2">
      <c r="A209" s="3"/>
      <c r="B209" s="2"/>
      <c r="C209" s="2"/>
    </row>
    <row r="210" spans="1:3" x14ac:dyDescent="0.2">
      <c r="A210" s="3"/>
      <c r="B210" s="2"/>
      <c r="C210" s="2"/>
    </row>
    <row r="211" spans="1:3" x14ac:dyDescent="0.2">
      <c r="A211" s="3"/>
      <c r="B211" s="2"/>
      <c r="C211" s="2"/>
    </row>
    <row r="212" spans="1:3" x14ac:dyDescent="0.2">
      <c r="A212" s="3"/>
      <c r="B212" s="2"/>
      <c r="C212" s="2"/>
    </row>
    <row r="213" spans="1:3" x14ac:dyDescent="0.2">
      <c r="A213" s="3"/>
      <c r="B213" s="2"/>
      <c r="C213" s="2"/>
    </row>
    <row r="214" spans="1:3" x14ac:dyDescent="0.2">
      <c r="A214" s="3"/>
      <c r="B214" s="2"/>
      <c r="C214" s="2"/>
    </row>
    <row r="215" spans="1:3" x14ac:dyDescent="0.2">
      <c r="A215" s="3"/>
      <c r="B215" s="2"/>
      <c r="C215" s="2"/>
    </row>
    <row r="216" spans="1:3" x14ac:dyDescent="0.2">
      <c r="A216" s="3"/>
      <c r="B216" s="2"/>
      <c r="C216" s="2"/>
    </row>
    <row r="217" spans="1:3" x14ac:dyDescent="0.2">
      <c r="A217" s="3"/>
      <c r="B217" s="2"/>
      <c r="C217" s="2"/>
    </row>
    <row r="218" spans="1:3" x14ac:dyDescent="0.2">
      <c r="A218" s="3"/>
      <c r="B218" s="2"/>
      <c r="C218" s="2"/>
    </row>
    <row r="219" spans="1:3" x14ac:dyDescent="0.2">
      <c r="A219" s="3"/>
      <c r="B219" s="2"/>
      <c r="C219" s="2"/>
    </row>
    <row r="220" spans="1:3" x14ac:dyDescent="0.2">
      <c r="A220" s="3"/>
      <c r="B220" s="2"/>
      <c r="C220" s="2"/>
    </row>
    <row r="221" spans="1:3" x14ac:dyDescent="0.2">
      <c r="A221" s="3"/>
      <c r="B221" s="2"/>
      <c r="C221" s="2"/>
    </row>
    <row r="222" spans="1:3" x14ac:dyDescent="0.2">
      <c r="A222" s="3"/>
      <c r="B222" s="2"/>
      <c r="C222" s="2"/>
    </row>
    <row r="223" spans="1:3" x14ac:dyDescent="0.2">
      <c r="A223" s="3"/>
      <c r="B223" s="2"/>
      <c r="C223" s="2"/>
    </row>
    <row r="224" spans="1:3" x14ac:dyDescent="0.2">
      <c r="A224" s="3"/>
      <c r="B224" s="2"/>
      <c r="C224" s="2"/>
    </row>
    <row r="225" spans="1:3" x14ac:dyDescent="0.2">
      <c r="A225" s="3"/>
      <c r="B225" s="2"/>
      <c r="C225" s="2"/>
    </row>
    <row r="226" spans="1:3" x14ac:dyDescent="0.2">
      <c r="A226" s="3"/>
      <c r="B226" s="2"/>
      <c r="C226" s="2"/>
    </row>
    <row r="227" spans="1:3" x14ac:dyDescent="0.2">
      <c r="A227" s="3"/>
      <c r="B227" s="2"/>
      <c r="C227" s="2"/>
    </row>
    <row r="228" spans="1:3" x14ac:dyDescent="0.2">
      <c r="A228" s="3"/>
      <c r="B228" s="2"/>
      <c r="C228" s="2"/>
    </row>
    <row r="229" spans="1:3" x14ac:dyDescent="0.2">
      <c r="A229" s="3"/>
      <c r="B229" s="2"/>
      <c r="C229" s="2"/>
    </row>
    <row r="230" spans="1:3" x14ac:dyDescent="0.2">
      <c r="A230" s="3"/>
      <c r="B230" s="2"/>
      <c r="C230" s="2"/>
    </row>
    <row r="231" spans="1:3" x14ac:dyDescent="0.2">
      <c r="A231" s="3"/>
      <c r="B231" s="2"/>
      <c r="C231" s="2"/>
    </row>
    <row r="232" spans="1:3" x14ac:dyDescent="0.2">
      <c r="A232" s="3"/>
      <c r="B232" s="2"/>
      <c r="C232" s="2"/>
    </row>
    <row r="233" spans="1:3" x14ac:dyDescent="0.2">
      <c r="A233" s="3"/>
      <c r="B233" s="2"/>
      <c r="C233" s="2"/>
    </row>
    <row r="234" spans="1:3" x14ac:dyDescent="0.2">
      <c r="A234" s="3"/>
      <c r="B234" s="2"/>
      <c r="C234" s="2"/>
    </row>
    <row r="235" spans="1:3" x14ac:dyDescent="0.2">
      <c r="A235" s="3"/>
      <c r="B235" s="2"/>
      <c r="C235" s="2"/>
    </row>
    <row r="236" spans="1:3" x14ac:dyDescent="0.2">
      <c r="A236" s="3"/>
      <c r="B236" s="2"/>
      <c r="C236" s="2"/>
    </row>
    <row r="237" spans="1:3" x14ac:dyDescent="0.2">
      <c r="A237" s="3"/>
      <c r="B237" s="2"/>
      <c r="C237" s="2"/>
    </row>
    <row r="238" spans="1:3" x14ac:dyDescent="0.2">
      <c r="A238" s="3"/>
      <c r="B238" s="2"/>
      <c r="C238" s="2"/>
    </row>
    <row r="239" spans="1:3" x14ac:dyDescent="0.2">
      <c r="A239" s="3"/>
      <c r="B239" s="2"/>
      <c r="C239" s="2"/>
    </row>
    <row r="240" spans="1:3" x14ac:dyDescent="0.2">
      <c r="A240" s="3"/>
      <c r="B240" s="2"/>
      <c r="C240" s="2"/>
    </row>
    <row r="241" spans="1:3" x14ac:dyDescent="0.2">
      <c r="A241" s="3"/>
      <c r="B241" s="2"/>
      <c r="C241" s="2"/>
    </row>
    <row r="242" spans="1:3" x14ac:dyDescent="0.2">
      <c r="A242" s="3"/>
      <c r="B242" s="2"/>
      <c r="C242" s="2"/>
    </row>
    <row r="243" spans="1:3" x14ac:dyDescent="0.2">
      <c r="A243" s="3"/>
      <c r="B243" s="2"/>
      <c r="C243" s="2"/>
    </row>
    <row r="244" spans="1:3" x14ac:dyDescent="0.2">
      <c r="A244" s="3"/>
      <c r="B244" s="2"/>
      <c r="C244" s="2"/>
    </row>
    <row r="245" spans="1:3" x14ac:dyDescent="0.2">
      <c r="A245" s="3"/>
      <c r="B245" s="2"/>
      <c r="C245" s="2"/>
    </row>
    <row r="246" spans="1:3" x14ac:dyDescent="0.2">
      <c r="A246" s="3"/>
      <c r="B246" s="2"/>
      <c r="C246" s="2"/>
    </row>
    <row r="247" spans="1:3" x14ac:dyDescent="0.2">
      <c r="A247" s="3"/>
      <c r="B247" s="2"/>
      <c r="C247" s="2"/>
    </row>
    <row r="248" spans="1:3" x14ac:dyDescent="0.2">
      <c r="A248" s="3"/>
      <c r="B248" s="2"/>
      <c r="C24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Raw_SQL_Data</vt:lpstr>
      <vt:lpstr>Pivot_Analysis</vt:lpstr>
      <vt:lpstr>KPIs</vt:lpstr>
      <vt:lpstr>travel_analytics_dashboard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latitude014</dc:creator>
  <cp:lastModifiedBy>dell latitude014</cp:lastModifiedBy>
  <dcterms:created xsi:type="dcterms:W3CDTF">2026-02-06T09:50:01Z</dcterms:created>
  <dcterms:modified xsi:type="dcterms:W3CDTF">2026-02-06T20:18:52Z</dcterms:modified>
</cp:coreProperties>
</file>